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工作文件\台账\"/>
    </mc:Choice>
  </mc:AlternateContent>
  <xr:revisionPtr revIDLastSave="0" documentId="13_ncr:1_{C9AFFF56-041B-4B10-B804-3686A61F6B5F}" xr6:coauthVersionLast="47" xr6:coauthVersionMax="47" xr10:uidLastSave="{00000000-0000-0000-0000-000000000000}"/>
  <bookViews>
    <workbookView xWindow="225" yWindow="851" windowWidth="22552" windowHeight="14000" tabRatio="500" firstSheet="1" activeTab="1" xr2:uid="{00000000-000D-0000-FFFF-FFFF00000000}"/>
  </bookViews>
  <sheets>
    <sheet name="数据面板" sheetId="1" state="hidden" r:id="rId1"/>
    <sheet name="系统汇总页面" sheetId="2" r:id="rId2"/>
    <sheet name="data" sheetId="3" r:id="rId3"/>
    <sheet name="基础资料" sheetId="4" r:id="rId4"/>
  </sheets>
  <definedNames>
    <definedName name="_xlnm._FilterDatabase" localSheetId="1" hidden="1">系统汇总页面!$A$1:$AML$88</definedName>
    <definedName name="_FilterDatabase_0_0" localSheetId="1">系统汇总页面!$A$1:$R$27</definedName>
    <definedName name="_FilterDatabase_0_0_0" localSheetId="1">系统汇总页面!$A$1:$R$26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8" i="2" l="1"/>
  <c r="G88" i="2"/>
  <c r="M88" i="2"/>
  <c r="N88" i="2"/>
  <c r="I87" i="2"/>
  <c r="N87" i="2"/>
  <c r="M87" i="2"/>
  <c r="G87" i="2"/>
  <c r="C87" i="2"/>
  <c r="N86" i="2"/>
  <c r="M86" i="2"/>
  <c r="I86" i="2"/>
  <c r="G86" i="2"/>
  <c r="C86" i="2"/>
  <c r="N85" i="2"/>
  <c r="M85" i="2"/>
  <c r="I85" i="2"/>
  <c r="G85" i="2"/>
  <c r="C85" i="2"/>
  <c r="N84" i="2"/>
  <c r="M84" i="2"/>
  <c r="G84" i="2"/>
  <c r="C84" i="2"/>
  <c r="N83" i="2"/>
  <c r="M83" i="2"/>
  <c r="G83" i="2"/>
  <c r="C83" i="2"/>
  <c r="N82" i="2"/>
  <c r="M82" i="2"/>
  <c r="G82" i="2"/>
  <c r="C82" i="2"/>
  <c r="N81" i="2"/>
  <c r="M81" i="2"/>
  <c r="G81" i="2"/>
  <c r="C81" i="2"/>
  <c r="N80" i="2"/>
  <c r="M80" i="2"/>
  <c r="I80" i="2"/>
  <c r="G80" i="2"/>
  <c r="C80" i="2"/>
  <c r="N79" i="2"/>
  <c r="M79" i="2"/>
  <c r="I79" i="2"/>
  <c r="G79" i="2"/>
  <c r="C79" i="2"/>
  <c r="N78" i="2"/>
  <c r="M78" i="2"/>
  <c r="I78" i="2"/>
  <c r="G78" i="2"/>
  <c r="C78" i="2"/>
  <c r="N77" i="2"/>
  <c r="M77" i="2"/>
  <c r="I77" i="2"/>
  <c r="G77" i="2"/>
  <c r="C77" i="2"/>
  <c r="N76" i="2"/>
  <c r="M76" i="2"/>
  <c r="G76" i="2"/>
  <c r="C76" i="2"/>
  <c r="N75" i="2"/>
  <c r="M75" i="2"/>
  <c r="I75" i="2"/>
  <c r="G75" i="2"/>
  <c r="C75" i="2"/>
  <c r="N74" i="2"/>
  <c r="M74" i="2"/>
  <c r="G74" i="2"/>
  <c r="C74" i="2"/>
  <c r="N73" i="2"/>
  <c r="M73" i="2"/>
  <c r="I73" i="2"/>
  <c r="G73" i="2"/>
  <c r="C73" i="2"/>
  <c r="N72" i="2"/>
  <c r="M72" i="2"/>
  <c r="G72" i="2"/>
  <c r="C72" i="2"/>
  <c r="N71" i="2"/>
  <c r="M71" i="2"/>
  <c r="G71" i="2"/>
  <c r="C71" i="2"/>
  <c r="N70" i="2"/>
  <c r="M70" i="2"/>
  <c r="G70" i="2"/>
  <c r="C70" i="2"/>
  <c r="N69" i="2"/>
  <c r="M69" i="2"/>
  <c r="I69" i="2"/>
  <c r="G69" i="2"/>
  <c r="C69" i="2"/>
  <c r="N68" i="2"/>
  <c r="M68" i="2"/>
  <c r="I68" i="2"/>
  <c r="G68" i="2"/>
  <c r="C68" i="2"/>
  <c r="N67" i="2"/>
  <c r="M67" i="2"/>
  <c r="G67" i="2"/>
  <c r="C67" i="2"/>
  <c r="N66" i="2"/>
  <c r="M66" i="2"/>
  <c r="G66" i="2"/>
  <c r="C66" i="2"/>
  <c r="N65" i="2"/>
  <c r="M65" i="2"/>
  <c r="G65" i="2"/>
  <c r="C65" i="2"/>
  <c r="N64" i="2"/>
  <c r="M64" i="2"/>
  <c r="G64" i="2"/>
  <c r="C64" i="2"/>
  <c r="N63" i="2"/>
  <c r="M63" i="2"/>
  <c r="G63" i="2"/>
  <c r="C63" i="2"/>
  <c r="N62" i="2"/>
  <c r="M62" i="2"/>
  <c r="G62" i="2"/>
  <c r="C62" i="2"/>
  <c r="N61" i="2"/>
  <c r="M61" i="2"/>
  <c r="G61" i="2"/>
  <c r="C61" i="2"/>
  <c r="N60" i="2"/>
  <c r="M60" i="2"/>
  <c r="G60" i="2"/>
  <c r="C60" i="2"/>
  <c r="N59" i="2"/>
  <c r="M59" i="2"/>
  <c r="G59" i="2"/>
  <c r="C59" i="2"/>
  <c r="N58" i="2"/>
  <c r="M58" i="2"/>
  <c r="G58" i="2"/>
  <c r="C58" i="2"/>
  <c r="N57" i="2"/>
  <c r="M57" i="2"/>
  <c r="G57" i="2"/>
  <c r="C57" i="2"/>
  <c r="N56" i="2"/>
  <c r="M56" i="2"/>
  <c r="I56" i="2"/>
  <c r="G56" i="2"/>
  <c r="C56" i="2"/>
  <c r="N55" i="2"/>
  <c r="M55" i="2"/>
  <c r="I55" i="2"/>
  <c r="G55" i="2"/>
  <c r="C55" i="2"/>
  <c r="N54" i="2"/>
  <c r="M54" i="2"/>
  <c r="G54" i="2"/>
  <c r="C54" i="2"/>
  <c r="N53" i="2"/>
  <c r="M53" i="2"/>
  <c r="G53" i="2"/>
  <c r="C53" i="2"/>
  <c r="N52" i="2"/>
  <c r="M52" i="2"/>
  <c r="G52" i="2"/>
  <c r="C52" i="2"/>
  <c r="N51" i="2"/>
  <c r="M51" i="2"/>
  <c r="G51" i="2"/>
  <c r="C51" i="2"/>
  <c r="N50" i="2"/>
  <c r="M50" i="2"/>
  <c r="G50" i="2"/>
  <c r="C50" i="2"/>
  <c r="N49" i="2"/>
  <c r="M49" i="2"/>
  <c r="G49" i="2"/>
  <c r="C49" i="2"/>
  <c r="N48" i="2"/>
  <c r="M48" i="2"/>
  <c r="G48" i="2"/>
  <c r="C48" i="2"/>
  <c r="N47" i="2"/>
  <c r="M47" i="2"/>
  <c r="G47" i="2"/>
  <c r="C47" i="2"/>
  <c r="N46" i="2"/>
  <c r="M46" i="2"/>
  <c r="G46" i="2"/>
  <c r="C46" i="2"/>
  <c r="N45" i="2"/>
  <c r="M45" i="2"/>
  <c r="G45" i="2"/>
  <c r="C45" i="2"/>
  <c r="N44" i="2"/>
  <c r="M44" i="2"/>
  <c r="G44" i="2"/>
  <c r="C44" i="2"/>
  <c r="N43" i="2"/>
  <c r="M43" i="2"/>
  <c r="G43" i="2"/>
  <c r="C43" i="2"/>
  <c r="N42" i="2"/>
  <c r="M42" i="2"/>
  <c r="G42" i="2"/>
  <c r="C42" i="2"/>
  <c r="N41" i="2"/>
  <c r="M41" i="2"/>
  <c r="G41" i="2"/>
  <c r="C41" i="2"/>
  <c r="N40" i="2"/>
  <c r="M40" i="2"/>
  <c r="G40" i="2"/>
  <c r="C40" i="2"/>
  <c r="N39" i="2"/>
  <c r="M39" i="2"/>
  <c r="G39" i="2"/>
  <c r="C39" i="2"/>
  <c r="N38" i="2"/>
  <c r="M38" i="2"/>
  <c r="G38" i="2"/>
  <c r="C38" i="2"/>
  <c r="N37" i="2"/>
  <c r="M37" i="2"/>
  <c r="G37" i="2"/>
  <c r="C37" i="2"/>
  <c r="N36" i="2"/>
  <c r="M36" i="2"/>
  <c r="G36" i="2"/>
  <c r="C36" i="2"/>
  <c r="N35" i="2"/>
  <c r="M35" i="2"/>
  <c r="G35" i="2"/>
  <c r="C35" i="2"/>
  <c r="N34" i="2"/>
  <c r="M34" i="2"/>
  <c r="G34" i="2"/>
  <c r="C34" i="2"/>
  <c r="N33" i="2"/>
  <c r="M33" i="2"/>
  <c r="G33" i="2"/>
  <c r="C33" i="2"/>
  <c r="N32" i="2"/>
  <c r="M32" i="2"/>
  <c r="G32" i="2"/>
  <c r="C32" i="2"/>
  <c r="N31" i="2"/>
  <c r="M31" i="2"/>
  <c r="G31" i="2"/>
  <c r="C31" i="2"/>
  <c r="N30" i="2"/>
  <c r="M30" i="2"/>
  <c r="G30" i="2"/>
  <c r="C30" i="2"/>
  <c r="N29" i="2"/>
  <c r="M29" i="2"/>
  <c r="G29" i="2"/>
  <c r="C29" i="2"/>
  <c r="N28" i="2"/>
  <c r="M28" i="2"/>
  <c r="G28" i="2"/>
  <c r="C28" i="2"/>
  <c r="N27" i="2"/>
  <c r="M27" i="2"/>
  <c r="G27" i="2"/>
  <c r="C27" i="2"/>
  <c r="N26" i="2"/>
  <c r="M26" i="2"/>
  <c r="G26" i="2"/>
  <c r="C26" i="2"/>
  <c r="N25" i="2"/>
  <c r="M25" i="2"/>
  <c r="G25" i="2"/>
  <c r="C25" i="2"/>
  <c r="N24" i="2"/>
  <c r="M24" i="2"/>
  <c r="G24" i="2"/>
  <c r="C24" i="2"/>
  <c r="N23" i="2"/>
  <c r="M23" i="2"/>
  <c r="G23" i="2"/>
  <c r="C23" i="2"/>
  <c r="N22" i="2"/>
  <c r="M22" i="2"/>
  <c r="I22" i="2"/>
  <c r="G22" i="2"/>
  <c r="C22" i="2"/>
  <c r="N21" i="2"/>
  <c r="M21" i="2"/>
  <c r="G21" i="2"/>
  <c r="C21" i="2"/>
  <c r="N20" i="2"/>
  <c r="M20" i="2"/>
  <c r="G20" i="2"/>
  <c r="C20" i="2"/>
  <c r="N19" i="2"/>
  <c r="M19" i="2"/>
  <c r="G19" i="2"/>
  <c r="C19" i="2"/>
  <c r="N18" i="2"/>
  <c r="M18" i="2"/>
  <c r="G18" i="2"/>
  <c r="C18" i="2"/>
  <c r="N17" i="2"/>
  <c r="M17" i="2"/>
  <c r="G17" i="2"/>
  <c r="C17" i="2"/>
  <c r="N16" i="2"/>
  <c r="M16" i="2"/>
  <c r="G16" i="2"/>
  <c r="C16" i="2"/>
  <c r="N15" i="2"/>
  <c r="M15" i="2"/>
  <c r="G15" i="2"/>
  <c r="C15" i="2"/>
  <c r="N14" i="2"/>
  <c r="M14" i="2"/>
  <c r="G14" i="2"/>
  <c r="C14" i="2"/>
  <c r="N13" i="2"/>
  <c r="M13" i="2"/>
  <c r="G13" i="2"/>
  <c r="C13" i="2"/>
  <c r="N12" i="2"/>
  <c r="M12" i="2"/>
  <c r="G12" i="2"/>
  <c r="C12" i="2"/>
  <c r="N11" i="2"/>
  <c r="M11" i="2"/>
  <c r="G11" i="2"/>
  <c r="C11" i="2"/>
  <c r="N10" i="2"/>
  <c r="M10" i="2"/>
  <c r="G10" i="2"/>
  <c r="C10" i="2"/>
  <c r="N9" i="2"/>
  <c r="M9" i="2"/>
  <c r="G9" i="2"/>
  <c r="C9" i="2"/>
  <c r="N8" i="2"/>
  <c r="M8" i="2"/>
  <c r="G8" i="2"/>
  <c r="C8" i="2"/>
  <c r="N7" i="2"/>
  <c r="M7" i="2"/>
  <c r="G7" i="2"/>
  <c r="C7" i="2"/>
  <c r="N6" i="2"/>
  <c r="M6" i="2"/>
  <c r="G6" i="2"/>
  <c r="C6" i="2"/>
  <c r="N5" i="2"/>
  <c r="M5" i="2"/>
  <c r="G5" i="2"/>
  <c r="C5" i="2"/>
  <c r="N4" i="2"/>
  <c r="M4" i="2"/>
  <c r="G4" i="2"/>
  <c r="C4" i="2"/>
  <c r="N3" i="2"/>
  <c r="M3" i="2"/>
  <c r="G3" i="2"/>
  <c r="C3" i="2"/>
  <c r="N2" i="2"/>
  <c r="M2" i="2"/>
  <c r="G2" i="2"/>
  <c r="C2" i="2"/>
</calcChain>
</file>

<file path=xl/sharedStrings.xml><?xml version="1.0" encoding="utf-8"?>
<sst xmlns="http://schemas.openxmlformats.org/spreadsheetml/2006/main" count="964" uniqueCount="351">
  <si>
    <t>序号</t>
  </si>
  <si>
    <t>系统号</t>
  </si>
  <si>
    <t>货代公司</t>
  </si>
  <si>
    <t>区域</t>
  </si>
  <si>
    <t>费用主题</t>
  </si>
  <si>
    <t>费用类型</t>
  </si>
  <si>
    <t>金额</t>
  </si>
  <si>
    <t>事由</t>
  </si>
  <si>
    <t>备注</t>
  </si>
  <si>
    <t>FYBX2501090004</t>
  </si>
  <si>
    <t>调整</t>
  </si>
  <si>
    <t>单号</t>
  </si>
  <si>
    <t>付款申请号</t>
  </si>
  <si>
    <t>水单号码</t>
  </si>
  <si>
    <t>金蝶流程</t>
  </si>
  <si>
    <t>状态</t>
  </si>
  <si>
    <t>停留时间</t>
  </si>
  <si>
    <t>业务日期</t>
  </si>
  <si>
    <t>费用主体</t>
  </si>
  <si>
    <t>币种</t>
  </si>
  <si>
    <t>FYBX2501030006</t>
  </si>
  <si>
    <t>FKSQ018160</t>
  </si>
  <si>
    <t>Bil_5</t>
  </si>
  <si>
    <t>完成</t>
  </si>
  <si>
    <t>1_安捷利</t>
  </si>
  <si>
    <t>欧洲</t>
  </si>
  <si>
    <t>美元</t>
  </si>
  <si>
    <t>安捷利-欧洲一件代发账单</t>
  </si>
  <si>
    <t>FYBX2501030007</t>
  </si>
  <si>
    <t>FKSQ018161</t>
  </si>
  <si>
    <t>Bil_6</t>
  </si>
  <si>
    <t>安捷利-仓储费账单</t>
  </si>
  <si>
    <t>FYBX2501030008</t>
  </si>
  <si>
    <t>——————</t>
  </si>
  <si>
    <t>VC单安捷利-尾程账单</t>
  </si>
  <si>
    <t>FYBX2501070001</t>
  </si>
  <si>
    <t>FKSQ001018</t>
  </si>
  <si>
    <t>3_安诺</t>
  </si>
  <si>
    <t>欧洲望圆 一件代发+调拨+仓租+入库费</t>
  </si>
  <si>
    <t>FYBX2501140001</t>
  </si>
  <si>
    <t>FKSQ017974</t>
  </si>
  <si>
    <t>安捷利-回邮单账单</t>
  </si>
  <si>
    <t>FYBX2501140002</t>
  </si>
  <si>
    <t>FKSQ018261</t>
  </si>
  <si>
    <t>Bil_15</t>
  </si>
  <si>
    <t>海外仓调拨单 安捷利</t>
  </si>
  <si>
    <t>FYBX2501140003</t>
  </si>
  <si>
    <t>FKSQ018162</t>
  </si>
  <si>
    <t>Bil_7</t>
  </si>
  <si>
    <t>FYBX2501140004</t>
  </si>
  <si>
    <t>FKSQ018506</t>
  </si>
  <si>
    <t>Bil_23</t>
  </si>
  <si>
    <t>退货单 安捷利-尾程账单</t>
  </si>
  <si>
    <t>FYBX2501030003</t>
  </si>
  <si>
    <t>FKSQ018158</t>
  </si>
  <si>
    <t>Bil_1</t>
  </si>
  <si>
    <t>美洲</t>
  </si>
  <si>
    <t>安捷利-美国 仓储费</t>
  </si>
  <si>
    <t>FYBX2501030005</t>
  </si>
  <si>
    <t>FKSQ018159</t>
  </si>
  <si>
    <t>Bil_2</t>
  </si>
  <si>
    <t>安捷利-美国 一件代发账单</t>
  </si>
  <si>
    <t>FYBX2501030012</t>
  </si>
  <si>
    <t>FKSQ17964</t>
  </si>
  <si>
    <t>加拿大 一件代发</t>
  </si>
  <si>
    <t>FYBX2501030013</t>
  </si>
  <si>
    <t>FKSQ17965</t>
  </si>
  <si>
    <t>对账单-安诺美国 一件代发</t>
  </si>
  <si>
    <t>FYBX2501030016</t>
  </si>
  <si>
    <t>FKSQ17967</t>
  </si>
  <si>
    <t>安诺 美国 仓租</t>
  </si>
  <si>
    <t>FYBX2501030017</t>
  </si>
  <si>
    <t>FKSQ17970</t>
  </si>
  <si>
    <t>安诺-加拿大仓租</t>
  </si>
  <si>
    <t>FKSQ017902</t>
  </si>
  <si>
    <t>5_恒广达</t>
  </si>
  <si>
    <t>12月份恒广达物流服务费</t>
  </si>
  <si>
    <t>FYBX2501130004</t>
  </si>
  <si>
    <t>FKSQ018008</t>
  </si>
  <si>
    <t>4_恺达</t>
  </si>
  <si>
    <t>澳洲</t>
  </si>
  <si>
    <t>WYAU0004-LZ-（广州恺达）澳洲</t>
  </si>
  <si>
    <t>FYBX2501140007</t>
  </si>
  <si>
    <t>FKSQ018007</t>
  </si>
  <si>
    <t>对账单-WYUS0045-LZ-（C1整柜二）-美线仓租  广州恺达</t>
  </si>
  <si>
    <t>FYBX2501140008</t>
  </si>
  <si>
    <t>FKSQ018035</t>
  </si>
  <si>
    <t>安诺 中转费用</t>
  </si>
  <si>
    <t>FYBX2501160006</t>
  </si>
  <si>
    <t>FKSQ018006</t>
  </si>
  <si>
    <t>美国-恺达-美线一件代发</t>
  </si>
  <si>
    <t>AP00010994</t>
  </si>
  <si>
    <t>FKSQ018647</t>
  </si>
  <si>
    <t>Bil_40</t>
  </si>
  <si>
    <t>安捷利-美国 尾程账单 海外中转仓调拨库内操作费及派送费（原单FYBX2501160007）</t>
  </si>
  <si>
    <t>AP00011023</t>
  </si>
  <si>
    <t>重提</t>
  </si>
  <si>
    <t>安捷利-澳洲  （后端转运原单号FYBX2501160008财务要求改应付单）</t>
  </si>
  <si>
    <t>FYBX2501170018</t>
  </si>
  <si>
    <t>FKSQ017936</t>
  </si>
  <si>
    <t>12月2024年费用 恒广达（亚马逊）</t>
  </si>
  <si>
    <t>AP00010705</t>
  </si>
  <si>
    <t>FKSQ018262</t>
  </si>
  <si>
    <t>Bil_14</t>
  </si>
  <si>
    <t>EU-安捷利头程</t>
  </si>
  <si>
    <t>AP00011020</t>
  </si>
  <si>
    <t>FKSQ018636</t>
  </si>
  <si>
    <t>Bil_35</t>
  </si>
  <si>
    <t>安诺11月税金单（原单号AP00010709被财务删除）</t>
  </si>
  <si>
    <t>AP00010688</t>
  </si>
  <si>
    <t>FKSQ17975</t>
  </si>
  <si>
    <t>2_美通</t>
  </si>
  <si>
    <t>美通11月税金</t>
  </si>
  <si>
    <t>FYBX2501210011</t>
  </si>
  <si>
    <t>6_盘古</t>
  </si>
  <si>
    <t>欧元</t>
  </si>
  <si>
    <t>盘古_1 欧洲-12月仓租及库内操作费用</t>
  </si>
  <si>
    <t>AP00010809</t>
  </si>
  <si>
    <t>FKSQ018193</t>
  </si>
  <si>
    <t>恺达_4 WYUS0006-LZ-（HJ1102P）整柜+税金账单</t>
  </si>
  <si>
    <t>FYBX2501220007</t>
  </si>
  <si>
    <t>FKSQ018009</t>
  </si>
  <si>
    <t>恺达_5WYUS0045-LZ-美线仓租账单-2025.01.08.xlsx</t>
  </si>
  <si>
    <t>FYBX2501230011</t>
  </si>
  <si>
    <t>FKSQ018164</t>
  </si>
  <si>
    <t>Bil_4</t>
  </si>
  <si>
    <t>对账单-12月加拿大一件代发</t>
  </si>
  <si>
    <t>AP00010813</t>
  </si>
  <si>
    <t>FKSQ018198</t>
  </si>
  <si>
    <t>Bil_10</t>
  </si>
  <si>
    <t>对账单-12月中转费用</t>
  </si>
  <si>
    <t>FYBX2501230012</t>
  </si>
  <si>
    <t>FKSQ018165</t>
  </si>
  <si>
    <t>Bil_3</t>
  </si>
  <si>
    <t>对账单-加拿大仓租12月</t>
  </si>
  <si>
    <t>AP00010815</t>
  </si>
  <si>
    <t>FKSQ018200</t>
  </si>
  <si>
    <t>Bil_8</t>
  </si>
  <si>
    <t>对账单-WYUS0037-LZ(空运配件9箱)散货</t>
  </si>
  <si>
    <t>FYBX2502050011</t>
  </si>
  <si>
    <t>FKSQ018202</t>
  </si>
  <si>
    <t>Bil_11</t>
  </si>
  <si>
    <t>恒广达美国12月份仓库操作费用（临时分拣）</t>
  </si>
  <si>
    <t>FYBX2502070004</t>
  </si>
  <si>
    <t>FKSQ018203</t>
  </si>
  <si>
    <t>Bil_9</t>
  </si>
  <si>
    <t>对账单（2024年4月）-太阳能板组散货-20240430</t>
  </si>
  <si>
    <t>FYBX2502120002</t>
  </si>
  <si>
    <t>FKSQ018227</t>
  </si>
  <si>
    <t>Bil_13</t>
  </si>
  <si>
    <t>202501仓租及订单费用（新账号）</t>
  </si>
  <si>
    <t>AP00010884</t>
  </si>
  <si>
    <t>FKSQ018648</t>
  </si>
  <si>
    <t>Bil_41</t>
  </si>
  <si>
    <t>WYAU0004-LZ澳洲库内操作及配送</t>
  </si>
  <si>
    <t>FYBX2502120008</t>
  </si>
  <si>
    <t>FKSQ018226</t>
  </si>
  <si>
    <t>Bil_12</t>
  </si>
  <si>
    <t>TJWY2025年 1月对账单明细（老账号）报账版</t>
  </si>
  <si>
    <t>FYBX2502140001</t>
  </si>
  <si>
    <t>FKSQ018507</t>
  </si>
  <si>
    <t>Bil_25</t>
  </si>
  <si>
    <t>欧洲望圆  12月一件代发+仓租-20250107(原单2,910.42)</t>
  </si>
  <si>
    <t>FYBX2502130013</t>
  </si>
  <si>
    <t>FKSQ018440</t>
  </si>
  <si>
    <t>Bil_17</t>
  </si>
  <si>
    <t>美国12月仓租-250106</t>
  </si>
  <si>
    <t>FYBX2502130014</t>
  </si>
  <si>
    <t>FKSQ018441</t>
  </si>
  <si>
    <t>Bil_18</t>
  </si>
  <si>
    <t>加拿大1月仓租-20250207</t>
  </si>
  <si>
    <t>FYBX2502130015</t>
  </si>
  <si>
    <t>FKSQ018442</t>
  </si>
  <si>
    <t>Bil_19</t>
  </si>
  <si>
    <t>美国12月一件代发-250108</t>
  </si>
  <si>
    <t>FYBX2502140002</t>
  </si>
  <si>
    <t>FKSQ018445</t>
  </si>
  <si>
    <t>Bil_20</t>
  </si>
  <si>
    <t>美国1月一件代发</t>
  </si>
  <si>
    <t>FYBX2502140005</t>
  </si>
  <si>
    <t>FKSQ018508</t>
  </si>
  <si>
    <t>Bil_24</t>
  </si>
  <si>
    <t>安诺_18 欧洲望圆 对账单-1月一件代发+仓租（原单2734.8）</t>
  </si>
  <si>
    <t>FYBX2502140003</t>
  </si>
  <si>
    <t>FKSQ018446</t>
  </si>
  <si>
    <t>Bil_21</t>
  </si>
  <si>
    <t>安诺_19-加拿大1月一件代发</t>
  </si>
  <si>
    <t>FYBX2502100002</t>
  </si>
  <si>
    <t>FKSQ018204</t>
  </si>
  <si>
    <t>Bil_16</t>
  </si>
  <si>
    <t>盘古_2 退件费，仓租，一件代发 202501</t>
  </si>
  <si>
    <t>FYBX2502200006</t>
  </si>
  <si>
    <t>FKSQ018447</t>
  </si>
  <si>
    <t>Bil_22</t>
  </si>
  <si>
    <t>恺达_7WYAU0004-LZ-（广州恺达）澳洲仓租-2025.01.08</t>
  </si>
  <si>
    <t>AP00011024</t>
  </si>
  <si>
    <t>FKSQ018633</t>
  </si>
  <si>
    <t>Bil_36</t>
  </si>
  <si>
    <t>恺达 WYAU006-LZ 税金+运费</t>
  </si>
  <si>
    <t>AP00011030</t>
  </si>
  <si>
    <t>FKSQ018638</t>
  </si>
  <si>
    <t>Bil_34</t>
  </si>
  <si>
    <t>安诺_20-1月中转费用-20250207</t>
  </si>
  <si>
    <t>FYBX2502270004</t>
  </si>
  <si>
    <t>FKSQ018789</t>
  </si>
  <si>
    <t>未付款</t>
  </si>
  <si>
    <t>美国1月仓租-20250207</t>
  </si>
  <si>
    <t>FYBX2503030001</t>
  </si>
  <si>
    <t>FKSQ018599</t>
  </si>
  <si>
    <t>Bil_37</t>
  </si>
  <si>
    <t>安捷利_13 1月份美国一件代发</t>
  </si>
  <si>
    <t>FYBX2503030002</t>
  </si>
  <si>
    <t>FKSQ018598</t>
  </si>
  <si>
    <t>Bil_38</t>
  </si>
  <si>
    <t>安捷利_14 12月份美国一件代发</t>
  </si>
  <si>
    <t>FYBX2503030003</t>
  </si>
  <si>
    <t>FKSQ018790</t>
  </si>
  <si>
    <t>安捷利_15 美国1月份仓储费</t>
  </si>
  <si>
    <t>FYBX2503030004</t>
  </si>
  <si>
    <t>FKSQ018597</t>
  </si>
  <si>
    <t>Bil_39</t>
  </si>
  <si>
    <t>安捷利_16 美国12月份仓储费</t>
  </si>
  <si>
    <t>AP00011034</t>
  </si>
  <si>
    <t>安捷利_17 美国海外仓调拨尾程账单1月份</t>
  </si>
  <si>
    <t>AP00011035</t>
  </si>
  <si>
    <t>安捷利_18 美国海外仓调拨尾程账单12月份</t>
  </si>
  <si>
    <t>FYBX2503030008</t>
  </si>
  <si>
    <t>FKSQ018596</t>
  </si>
  <si>
    <t>Bil_30</t>
  </si>
  <si>
    <t>安捷利_19 欧洲1月仓储费账单</t>
  </si>
  <si>
    <t>FYBX2503040006</t>
  </si>
  <si>
    <t>FKSQ018595</t>
  </si>
  <si>
    <t>Bil_31</t>
  </si>
  <si>
    <t>安捷利_20 欧洲12月仓储费账单</t>
  </si>
  <si>
    <t>FYBX2503040007</t>
  </si>
  <si>
    <t>FKSQ018594</t>
  </si>
  <si>
    <t>Bil_32</t>
  </si>
  <si>
    <t>安捷利_21 欧洲一件代发账单（1月）</t>
  </si>
  <si>
    <t>FYBX2503040008</t>
  </si>
  <si>
    <t>FKSQ018592</t>
  </si>
  <si>
    <t>Bil_33</t>
  </si>
  <si>
    <t>安捷利_22 欧洲一件代发账单（12月）</t>
  </si>
  <si>
    <t>FYBX2503050011</t>
  </si>
  <si>
    <t>FKSQ018591</t>
  </si>
  <si>
    <t>Bil_27</t>
  </si>
  <si>
    <t>恺达_9 WYAU0004-LZ澳洲仓租USD608.42</t>
  </si>
  <si>
    <t>FYBX2503050012</t>
  </si>
  <si>
    <t>FKSQ018791</t>
  </si>
  <si>
    <t>恺达_10 望圆WYUS0045-LZ美国仓租USD2084.76</t>
  </si>
  <si>
    <t>FYBX2503050013</t>
  </si>
  <si>
    <t>FKSQ018792</t>
  </si>
  <si>
    <t>恺达_11-望圆欧洲一件代发USD539.76</t>
  </si>
  <si>
    <t>AP00011097</t>
  </si>
  <si>
    <t>FKSQ018801</t>
  </si>
  <si>
    <t>美通_2 11月账单-欧洲市场</t>
  </si>
  <si>
    <t>FYBX2503080002</t>
  </si>
  <si>
    <t>FKSQ018632</t>
  </si>
  <si>
    <t>Bil_29</t>
  </si>
  <si>
    <t>恒广达_6 2月费用（新账号）</t>
  </si>
  <si>
    <t>FYBX2503080003</t>
  </si>
  <si>
    <t>FKSQ018589</t>
  </si>
  <si>
    <t>Bil_26</t>
  </si>
  <si>
    <t>恒广达_7 2月费用（老账号）</t>
  </si>
  <si>
    <t>FYBX2503100003</t>
  </si>
  <si>
    <t>FKSQ018590</t>
  </si>
  <si>
    <t>Bil_28</t>
  </si>
  <si>
    <t>盘古3 _2月费用账单</t>
  </si>
  <si>
    <t>AP00011098</t>
  </si>
  <si>
    <t>未完成</t>
  </si>
  <si>
    <t>美通_3 1月欧洲税金单</t>
  </si>
  <si>
    <t>AP00011100</t>
  </si>
  <si>
    <t>美通_4 美国11月整柜</t>
  </si>
  <si>
    <t>FYBX2503130004</t>
  </si>
  <si>
    <t>FKSQ018793</t>
  </si>
  <si>
    <t>安诺_22 加拿大2月仓租-20250306</t>
  </si>
  <si>
    <t>FYBX2503130005</t>
  </si>
  <si>
    <t>FKSQ018794</t>
  </si>
  <si>
    <t>安诺_23-美国2月仓租-20250306</t>
  </si>
  <si>
    <t>FYBX2503130006</t>
  </si>
  <si>
    <t>FKSQ018795</t>
  </si>
  <si>
    <t>安诺_24 加拿大2月一件代发-20250304</t>
  </si>
  <si>
    <t>FYBX2503130007</t>
  </si>
  <si>
    <t>安诺_25-美国2月一件代发-20250304</t>
  </si>
  <si>
    <t>FYBX2503130008</t>
  </si>
  <si>
    <t>FKSQ018797</t>
  </si>
  <si>
    <t>安诺_26 欧洲望圆 对账单-2月一件代发+仓租+回邮-20250305</t>
  </si>
  <si>
    <t>FYBX2503170001</t>
  </si>
  <si>
    <t>安捷利-美国2月份仓储费</t>
  </si>
  <si>
    <t>FYBX2503170002</t>
  </si>
  <si>
    <t>FKSQ018796</t>
  </si>
  <si>
    <t>安捷利-欧洲2月仓储费账单</t>
  </si>
  <si>
    <t>AP00011201</t>
  </si>
  <si>
    <t>安诺-2月中转费用（原单号FYBX2503170011）</t>
  </si>
  <si>
    <t>AP00011154</t>
  </si>
  <si>
    <t>安捷利-美国海外仓调拨尾程账单2月份</t>
  </si>
  <si>
    <t>FYBX2503180006</t>
  </si>
  <si>
    <t>安捷利-2月份美国一件代发账单</t>
  </si>
  <si>
    <t>AP00011101</t>
  </si>
  <si>
    <t>入库单匹配有误</t>
  </si>
  <si>
    <t>美通_6 美国11月散柜</t>
  </si>
  <si>
    <t>AP00011173</t>
  </si>
  <si>
    <t>入库单联动应付单有误</t>
  </si>
  <si>
    <t>美通_5 美国1月散柜</t>
  </si>
  <si>
    <t>FYBX2503200007</t>
  </si>
  <si>
    <t>FKSQ018798</t>
  </si>
  <si>
    <t>恺达_12-WYAU0004-LZ-（广州恺达）澳洲账单-2月仓租</t>
  </si>
  <si>
    <t>FYBX2503200008</t>
  </si>
  <si>
    <t>FKSQ018799</t>
  </si>
  <si>
    <t>恺达_13WYAU0004-LZ-（广州恺达）3月前半月仓租 澳洲账单-2025.03.15</t>
  </si>
  <si>
    <t>FYBX2503210002</t>
  </si>
  <si>
    <t>FKSQ018800</t>
  </si>
  <si>
    <t>WYUS0045-LZ(C1整柜2）美线2月仓租USD1828.57</t>
  </si>
  <si>
    <t>FYBX2503210003</t>
  </si>
  <si>
    <t>WYUS0045-LZ-（C1整柜二）-（广州恺达）美线仓租账单3月前半月</t>
  </si>
  <si>
    <t>FYBX2503210008</t>
  </si>
  <si>
    <t>恒广达_202503仓租及订单费用（新老账号）截至20250320</t>
  </si>
  <si>
    <t>恺达_16 WYUS0045-LZ-（C1整柜二）-（广州恺达）美线调拨账单-2月</t>
  </si>
  <si>
    <t>已审核</t>
  </si>
  <si>
    <t>付桂兰</t>
  </si>
  <si>
    <t>FYBX2503170011</t>
  </si>
  <si>
    <t>重新审核</t>
  </si>
  <si>
    <t>王鑫1</t>
  </si>
  <si>
    <t>梁宏峰</t>
  </si>
  <si>
    <t>AP00011229</t>
  </si>
  <si>
    <t>孙越</t>
  </si>
  <si>
    <t>创建</t>
  </si>
  <si>
    <t>$</t>
  </si>
  <si>
    <t>费用报销单</t>
  </si>
  <si>
    <t>望园美国</t>
  </si>
  <si>
    <t>人民币</t>
  </si>
  <si>
    <t>￥</t>
  </si>
  <si>
    <t>费用应付单</t>
  </si>
  <si>
    <t>望园香港</t>
  </si>
  <si>
    <t>7_卉马</t>
  </si>
  <si>
    <t xml:space="preserve"> </t>
    <phoneticPr fontId="3" type="noConversion"/>
  </si>
  <si>
    <t>8_环世</t>
  </si>
  <si>
    <t>8_环世</t>
    <phoneticPr fontId="3" type="noConversion"/>
  </si>
  <si>
    <t>环世_1 澳洲一月费用</t>
  </si>
  <si>
    <t>AP00011235</t>
  </si>
  <si>
    <t>Bil_43</t>
  </si>
  <si>
    <t>Bil_44</t>
  </si>
  <si>
    <t>Bil_53</t>
    <phoneticPr fontId="3" type="noConversion"/>
  </si>
  <si>
    <t>Bil_42</t>
  </si>
  <si>
    <t>Bil_49</t>
  </si>
  <si>
    <t>Bil_50</t>
  </si>
  <si>
    <t>Bil_51</t>
  </si>
  <si>
    <t>Bil_52</t>
  </si>
  <si>
    <t>Bil_45</t>
    <phoneticPr fontId="3" type="noConversion"/>
  </si>
  <si>
    <t>Bil_46</t>
    <phoneticPr fontId="3" type="noConversion"/>
  </si>
  <si>
    <t>Bil_47</t>
  </si>
  <si>
    <t>Bil_48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</si>
</sst>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_);[Red]\(0\)"/>
    <numFmt numFmtId="178" formatCode="yyyy\-mm\-dd\ h:mm:ss"/>
  </numFmts>
  <fonts count="6" x14ac:knownFonts="1">
    <font>
      <sz val="11"/>
      <color rgb="FF000000"/>
      <name val="宋体"/>
      <family val="2"/>
      <charset val="1"/>
    </font>
    <font>
      <b/>
      <sz val="11"/>
      <color rgb="FF000000"/>
      <name val="宋体"/>
      <family val="2"/>
      <charset val="1"/>
    </font>
    <font>
      <b/>
      <sz val="11"/>
      <color rgb="FF00000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2"/>
      <charset val="1"/>
    </font>
    <font>
      <sz val="11"/>
      <color indexed="8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BFBFBF"/>
        <bgColor rgb="FFCCCCFF"/>
      </patternFill>
    </fill>
    <fill>
      <patternFill patternType="solid">
        <fgColor indexed="3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5" fillId="0" borderId="0">
      <alignment vertical="center"/>
    </xf>
  </cellStyleXfs>
  <cellXfs count="17">
    <xf numFmtId="0" fontId="0" fillId="0" borderId="0" xfId="0"/>
    <xf numFmtId="0" fontId="2" fillId="2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4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76" fontId="0" fillId="0" borderId="0" xfId="0" applyNumberFormat="1" applyAlignment="1">
      <alignment horizontal="center"/>
    </xf>
    <xf numFmtId="177" fontId="0" fillId="0" borderId="0" xfId="0" applyNumberFormat="1"/>
    <xf numFmtId="178" fontId="0" fillId="0" borderId="0" xfId="0" applyNumberFormat="1"/>
    <xf numFmtId="177" fontId="0" fillId="5" borderId="0" xfId="0" applyNumberFormat="1" applyFill="1" applyAlignment="1">
      <alignment horizontal="center"/>
    </xf>
    <xf numFmtId="177" fontId="0" fillId="4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177" fontId="0" fillId="0" borderId="0" xfId="0" applyNumberFormat="1" applyFill="1" applyAlignment="1">
      <alignment horizontal="center"/>
    </xf>
    <xf numFmtId="177" fontId="0" fillId="7" borderId="0" xfId="0" applyNumberFormat="1" applyFill="1" applyAlignment="1">
      <alignment horizontal="center"/>
    </xf>
  </cellXfs>
  <cellStyles count="3">
    <cellStyle name="常规" xfId="0" builtinId="0"/>
    <cellStyle name="常规 10 10 2 2 2" xfId="2" xr:uid="{00000000-0005-0000-0000-000002000000}"/>
    <cellStyle name="透视表结果" xfId="1" xr:uid="{00000000-0005-0000-0000-000001000000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8000"/>
      <rgbColor rgb="FFFF6600"/>
      <rgbColor rgb="FF666699"/>
      <rgbColor rgb="FF77BC65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../&#31995;&#32479;&#22635;&#25253;&#21333;&#25454;&#24402;&#26723;/2_&#32654;&#36890;" TargetMode="External"/><Relationship Id="rId21" Type="http://schemas.openxmlformats.org/officeDocument/2006/relationships/hyperlink" Target="../&#31995;&#32479;&#22635;&#25253;&#21333;&#25454;&#24402;&#26723;/1_&#23433;&#25463;&#21033;" TargetMode="External"/><Relationship Id="rId42" Type="http://schemas.openxmlformats.org/officeDocument/2006/relationships/hyperlink" Target="../&#31995;&#32479;&#22635;&#25253;&#21333;&#25454;&#24402;&#26723;/3_&#23433;&#35834;" TargetMode="External"/><Relationship Id="rId47" Type="http://schemas.openxmlformats.org/officeDocument/2006/relationships/hyperlink" Target="../&#31995;&#32479;&#22635;&#25253;&#21333;&#25454;&#24402;&#26723;/4_&#24698;&#36798;" TargetMode="External"/><Relationship Id="rId63" Type="http://schemas.openxmlformats.org/officeDocument/2006/relationships/hyperlink" Target="../&#31995;&#32479;&#22635;&#25253;&#21333;&#25454;&#24402;&#26723;/4_&#24698;&#36798;" TargetMode="External"/><Relationship Id="rId68" Type="http://schemas.openxmlformats.org/officeDocument/2006/relationships/hyperlink" Target="../&#31995;&#32479;&#22635;&#25253;&#21333;&#25454;&#24402;&#26723;/2_&#32654;&#36890;" TargetMode="External"/><Relationship Id="rId84" Type="http://schemas.openxmlformats.org/officeDocument/2006/relationships/hyperlink" Target="../&#31995;&#32479;&#22635;&#25253;&#21333;&#25454;&#24402;&#26723;/4_&#24698;&#36798;" TargetMode="External"/><Relationship Id="rId89" Type="http://schemas.openxmlformats.org/officeDocument/2006/relationships/printerSettings" Target="../printerSettings/printerSettings1.bin"/><Relationship Id="rId16" Type="http://schemas.openxmlformats.org/officeDocument/2006/relationships/hyperlink" Target="../&#31995;&#32479;&#22635;&#25253;&#21333;&#25454;&#24402;&#26723;/5_&#24658;&#24191;&#36798;" TargetMode="External"/><Relationship Id="rId11" Type="http://schemas.openxmlformats.org/officeDocument/2006/relationships/hyperlink" Target="../&#31995;&#32479;&#22635;&#25253;&#21333;&#25454;&#24402;&#26723;/1_&#23433;&#25463;&#21033;" TargetMode="External"/><Relationship Id="rId32" Type="http://schemas.openxmlformats.org/officeDocument/2006/relationships/hyperlink" Target="../&#31995;&#32479;&#22635;&#25253;&#21333;&#25454;&#24402;&#26723;/3_&#23433;&#35834;" TargetMode="External"/><Relationship Id="rId37" Type="http://schemas.openxmlformats.org/officeDocument/2006/relationships/hyperlink" Target="../&#31995;&#32479;&#22635;&#25253;&#21333;&#25454;&#24402;&#26723;/4_&#24698;&#36798;" TargetMode="External"/><Relationship Id="rId53" Type="http://schemas.openxmlformats.org/officeDocument/2006/relationships/hyperlink" Target="../&#31995;&#32479;&#22635;&#25253;&#21333;&#25454;&#24402;&#26723;/1_&#23433;&#25463;&#21033;" TargetMode="External"/><Relationship Id="rId58" Type="http://schemas.openxmlformats.org/officeDocument/2006/relationships/hyperlink" Target="../&#31995;&#32479;&#22635;&#25253;&#21333;&#25454;&#24402;&#26723;/1_&#23433;&#25463;&#21033;" TargetMode="External"/><Relationship Id="rId74" Type="http://schemas.openxmlformats.org/officeDocument/2006/relationships/hyperlink" Target="../&#31995;&#32479;&#22635;&#25253;&#21333;&#25454;&#24402;&#26723;/3_&#23433;&#35834;" TargetMode="External"/><Relationship Id="rId79" Type="http://schemas.openxmlformats.org/officeDocument/2006/relationships/hyperlink" Target="../&#31995;&#32479;&#22635;&#25253;&#21333;&#25454;&#24402;&#26723;/1_&#23433;&#25463;&#21033;" TargetMode="External"/><Relationship Id="rId5" Type="http://schemas.openxmlformats.org/officeDocument/2006/relationships/hyperlink" Target="../&#31995;&#32479;&#22635;&#25253;&#21333;&#25454;&#24402;&#26723;/3_&#23433;&#35834;" TargetMode="External"/><Relationship Id="rId14" Type="http://schemas.openxmlformats.org/officeDocument/2006/relationships/hyperlink" Target="../&#31995;&#32479;&#22635;&#25253;&#21333;&#25454;&#24402;&#26723;/3_&#23433;&#35834;" TargetMode="External"/><Relationship Id="rId22" Type="http://schemas.openxmlformats.org/officeDocument/2006/relationships/hyperlink" Target="../&#31995;&#32479;&#22635;&#25253;&#21333;&#25454;&#24402;&#26723;/1_&#23433;&#25463;&#21033;" TargetMode="External"/><Relationship Id="rId27" Type="http://schemas.openxmlformats.org/officeDocument/2006/relationships/hyperlink" Target="../&#31995;&#32479;&#22635;&#25253;&#21333;&#25454;&#24402;&#26723;/6_&#30424;&#21476;" TargetMode="External"/><Relationship Id="rId30" Type="http://schemas.openxmlformats.org/officeDocument/2006/relationships/hyperlink" Target="../&#31995;&#32479;&#22635;&#25253;&#21333;&#25454;&#24402;&#26723;/3_&#23433;&#35834;" TargetMode="External"/><Relationship Id="rId35" Type="http://schemas.openxmlformats.org/officeDocument/2006/relationships/hyperlink" Target="../&#31995;&#32479;&#22635;&#25253;&#21333;&#25454;&#24402;&#26723;/3_&#23433;&#35834;" TargetMode="External"/><Relationship Id="rId43" Type="http://schemas.openxmlformats.org/officeDocument/2006/relationships/hyperlink" Target="../&#31995;&#32479;&#22635;&#25253;&#21333;&#25454;&#24402;&#26723;/3_&#23433;&#35834;" TargetMode="External"/><Relationship Id="rId48" Type="http://schemas.openxmlformats.org/officeDocument/2006/relationships/hyperlink" Target="../&#31995;&#32479;&#22635;&#25253;&#21333;&#25454;&#24402;&#26723;/4_&#24698;&#36798;" TargetMode="External"/><Relationship Id="rId56" Type="http://schemas.openxmlformats.org/officeDocument/2006/relationships/hyperlink" Target="../&#31995;&#32479;&#22635;&#25253;&#21333;&#25454;&#24402;&#26723;/1_&#23433;&#25463;&#21033;" TargetMode="External"/><Relationship Id="rId64" Type="http://schemas.openxmlformats.org/officeDocument/2006/relationships/hyperlink" Target="../&#31995;&#32479;&#22635;&#25253;&#21333;&#25454;&#24402;&#26723;/2_&#32654;&#36890;" TargetMode="External"/><Relationship Id="rId69" Type="http://schemas.openxmlformats.org/officeDocument/2006/relationships/hyperlink" Target="../&#31995;&#32479;&#22635;&#25253;&#21333;&#25454;&#24402;&#26723;/2_&#32654;&#36890;" TargetMode="External"/><Relationship Id="rId77" Type="http://schemas.openxmlformats.org/officeDocument/2006/relationships/hyperlink" Target="../&#31995;&#32479;&#22635;&#25253;&#21333;&#25454;&#24402;&#26723;/3_&#23433;&#35834;" TargetMode="External"/><Relationship Id="rId8" Type="http://schemas.openxmlformats.org/officeDocument/2006/relationships/hyperlink" Target="../&#31995;&#32479;&#22635;&#25253;&#21333;&#25454;&#24402;&#26723;/1_&#23433;&#25463;&#21033;" TargetMode="External"/><Relationship Id="rId51" Type="http://schemas.openxmlformats.org/officeDocument/2006/relationships/hyperlink" Target="../&#31995;&#32479;&#22635;&#25253;&#21333;&#25454;&#24402;&#26723;/1_&#23433;&#25463;&#21033;" TargetMode="External"/><Relationship Id="rId72" Type="http://schemas.openxmlformats.org/officeDocument/2006/relationships/hyperlink" Target="../&#31995;&#32479;&#22635;&#25253;&#21333;&#25454;&#24402;&#26723;/3_&#23433;&#35834;" TargetMode="External"/><Relationship Id="rId80" Type="http://schemas.openxmlformats.org/officeDocument/2006/relationships/hyperlink" Target="..\&#31995;&#32479;&#22635;&#25253;&#21333;&#25454;&#24402;&#26723;\2_&#32654;&#36890;" TargetMode="External"/><Relationship Id="rId85" Type="http://schemas.openxmlformats.org/officeDocument/2006/relationships/hyperlink" Target="../&#31995;&#32479;&#22635;&#25253;&#21333;&#25454;&#24402;&#26723;/4_&#24698;&#36798;" TargetMode="External"/><Relationship Id="rId3" Type="http://schemas.openxmlformats.org/officeDocument/2006/relationships/hyperlink" Target="../&#31995;&#32479;&#22635;&#25253;&#21333;&#25454;&#24402;&#26723;/1_&#23433;&#25463;&#21033;" TargetMode="External"/><Relationship Id="rId12" Type="http://schemas.openxmlformats.org/officeDocument/2006/relationships/hyperlink" Target="../&#31995;&#32479;&#22635;&#25253;&#21333;&#25454;&#24402;&#26723;/3_&#23433;&#35834;" TargetMode="External"/><Relationship Id="rId17" Type="http://schemas.openxmlformats.org/officeDocument/2006/relationships/hyperlink" Target="../&#31995;&#32479;&#22635;&#25253;&#21333;&#25454;&#24402;&#26723;/4_&#24698;&#36798;" TargetMode="External"/><Relationship Id="rId25" Type="http://schemas.openxmlformats.org/officeDocument/2006/relationships/hyperlink" Target="../&#31995;&#32479;&#22635;&#25253;&#21333;&#25454;&#24402;&#26723;/3_&#23433;&#35834;" TargetMode="External"/><Relationship Id="rId33" Type="http://schemas.openxmlformats.org/officeDocument/2006/relationships/hyperlink" Target="../&#31995;&#32479;&#22635;&#25253;&#21333;&#25454;&#24402;&#26723;/3_&#23433;&#35834;" TargetMode="External"/><Relationship Id="rId38" Type="http://schemas.openxmlformats.org/officeDocument/2006/relationships/hyperlink" Target="../&#31995;&#32479;&#22635;&#25253;&#21333;&#25454;&#24402;&#26723;/5_&#24658;&#24191;&#36798;" TargetMode="External"/><Relationship Id="rId46" Type="http://schemas.openxmlformats.org/officeDocument/2006/relationships/hyperlink" Target="../&#31995;&#32479;&#22635;&#25253;&#21333;&#25454;&#24402;&#26723;/6_&#30424;&#21476;" TargetMode="External"/><Relationship Id="rId59" Type="http://schemas.openxmlformats.org/officeDocument/2006/relationships/hyperlink" Target="../&#31995;&#32479;&#22635;&#25253;&#21333;&#25454;&#24402;&#26723;/1_&#23433;&#25463;&#21033;" TargetMode="External"/><Relationship Id="rId67" Type="http://schemas.openxmlformats.org/officeDocument/2006/relationships/hyperlink" Target="../&#31995;&#32479;&#22635;&#25253;&#21333;&#25454;&#24402;&#26723;/6_&#30424;&#21476;" TargetMode="External"/><Relationship Id="rId20" Type="http://schemas.openxmlformats.org/officeDocument/2006/relationships/hyperlink" Target="../&#31995;&#32479;&#22635;&#25253;&#21333;&#25454;&#24402;&#26723;/4_&#24698;&#36798;" TargetMode="External"/><Relationship Id="rId41" Type="http://schemas.openxmlformats.org/officeDocument/2006/relationships/hyperlink" Target="../&#31995;&#32479;&#22635;&#25253;&#21333;&#25454;&#24402;&#26723;/3_&#23433;&#35834;" TargetMode="External"/><Relationship Id="rId54" Type="http://schemas.openxmlformats.org/officeDocument/2006/relationships/hyperlink" Target="../&#31995;&#32479;&#22635;&#25253;&#21333;&#25454;&#24402;&#26723;/1_&#23433;&#25463;&#21033;" TargetMode="External"/><Relationship Id="rId62" Type="http://schemas.openxmlformats.org/officeDocument/2006/relationships/hyperlink" Target="../&#31995;&#32479;&#22635;&#25253;&#21333;&#25454;&#24402;&#26723;/4_&#24698;&#36798;" TargetMode="External"/><Relationship Id="rId70" Type="http://schemas.openxmlformats.org/officeDocument/2006/relationships/hyperlink" Target="../&#31995;&#32479;&#22635;&#25253;&#21333;&#25454;&#24402;&#26723;/3_&#23433;&#35834;" TargetMode="External"/><Relationship Id="rId75" Type="http://schemas.openxmlformats.org/officeDocument/2006/relationships/hyperlink" Target="../&#31995;&#32479;&#22635;&#25253;&#21333;&#25454;&#24402;&#26723;/1_&#23433;&#25463;&#21033;" TargetMode="External"/><Relationship Id="rId83" Type="http://schemas.openxmlformats.org/officeDocument/2006/relationships/hyperlink" Target="../&#31995;&#32479;&#22635;&#25253;&#21333;&#25454;&#24402;&#26723;/4_&#24698;&#36798;" TargetMode="External"/><Relationship Id="rId88" Type="http://schemas.openxmlformats.org/officeDocument/2006/relationships/hyperlink" Target="../&#31995;&#32479;&#22635;&#25253;&#21333;&#25454;&#24402;&#26723;/5_&#24658;&#24191;&#36798;" TargetMode="External"/><Relationship Id="rId1" Type="http://schemas.openxmlformats.org/officeDocument/2006/relationships/hyperlink" Target="../&#31995;&#32479;&#22635;&#25253;&#21333;&#25454;&#24402;&#26723;/&#36135;&#20195;&#20844;&#21496;" TargetMode="External"/><Relationship Id="rId6" Type="http://schemas.openxmlformats.org/officeDocument/2006/relationships/hyperlink" Target="../&#31995;&#32479;&#22635;&#25253;&#21333;&#25454;&#24402;&#26723;/1_&#23433;&#25463;&#21033;" TargetMode="External"/><Relationship Id="rId15" Type="http://schemas.openxmlformats.org/officeDocument/2006/relationships/hyperlink" Target="../&#31995;&#32479;&#22635;&#25253;&#21333;&#25454;&#24402;&#26723;/3_&#23433;&#35834;" TargetMode="External"/><Relationship Id="rId23" Type="http://schemas.openxmlformats.org/officeDocument/2006/relationships/hyperlink" Target="../&#31995;&#32479;&#22635;&#25253;&#21333;&#25454;&#24402;&#26723;/5_&#24658;&#24191;&#36798;" TargetMode="External"/><Relationship Id="rId28" Type="http://schemas.openxmlformats.org/officeDocument/2006/relationships/hyperlink" Target="../&#31995;&#32479;&#22635;&#25253;&#21333;&#25454;&#24402;&#26723;/4_&#24698;&#36798;" TargetMode="External"/><Relationship Id="rId36" Type="http://schemas.openxmlformats.org/officeDocument/2006/relationships/hyperlink" Target="../&#31995;&#32479;&#22635;&#25253;&#21333;&#25454;&#24402;&#26723;/5_&#24658;&#24191;&#36798;" TargetMode="External"/><Relationship Id="rId49" Type="http://schemas.openxmlformats.org/officeDocument/2006/relationships/hyperlink" Target="../&#31995;&#32479;&#22635;&#25253;&#21333;&#25454;&#24402;&#26723;/3_&#23433;&#35834;" TargetMode="External"/><Relationship Id="rId57" Type="http://schemas.openxmlformats.org/officeDocument/2006/relationships/hyperlink" Target="../&#31995;&#32479;&#22635;&#25253;&#21333;&#25454;&#24402;&#26723;/1_&#23433;&#25463;&#21033;" TargetMode="External"/><Relationship Id="rId10" Type="http://schemas.openxmlformats.org/officeDocument/2006/relationships/hyperlink" Target="../&#31995;&#32479;&#22635;&#25253;&#21333;&#25454;&#24402;&#26723;/1_&#23433;&#25463;&#21033;" TargetMode="External"/><Relationship Id="rId31" Type="http://schemas.openxmlformats.org/officeDocument/2006/relationships/hyperlink" Target="../&#31995;&#32479;&#22635;&#25253;&#21333;&#25454;&#24402;&#26723;/3_&#23433;&#35834;" TargetMode="External"/><Relationship Id="rId44" Type="http://schemas.openxmlformats.org/officeDocument/2006/relationships/hyperlink" Target="../&#31995;&#32479;&#22635;&#25253;&#21333;&#25454;&#24402;&#26723;/3_&#23433;&#35834;" TargetMode="External"/><Relationship Id="rId52" Type="http://schemas.openxmlformats.org/officeDocument/2006/relationships/hyperlink" Target="../&#31995;&#32479;&#22635;&#25253;&#21333;&#25454;&#24402;&#26723;/1_&#23433;&#25463;&#21033;" TargetMode="External"/><Relationship Id="rId60" Type="http://schemas.openxmlformats.org/officeDocument/2006/relationships/hyperlink" Target="../&#31995;&#32479;&#22635;&#25253;&#21333;&#25454;&#24402;&#26723;/1_&#23433;&#25463;&#21033;" TargetMode="External"/><Relationship Id="rId65" Type="http://schemas.openxmlformats.org/officeDocument/2006/relationships/hyperlink" Target="../&#31995;&#32479;&#22635;&#25253;&#21333;&#25454;&#24402;&#26723;/5_&#24658;&#24191;&#36798;" TargetMode="External"/><Relationship Id="rId73" Type="http://schemas.openxmlformats.org/officeDocument/2006/relationships/hyperlink" Target="../&#31995;&#32479;&#22635;&#25253;&#21333;&#25454;&#24402;&#26723;/3_&#23433;&#35834;" TargetMode="External"/><Relationship Id="rId78" Type="http://schemas.openxmlformats.org/officeDocument/2006/relationships/hyperlink" Target="../&#31995;&#32479;&#22635;&#25253;&#21333;&#25454;&#24402;&#26723;/1_&#23433;&#25463;&#21033;" TargetMode="External"/><Relationship Id="rId81" Type="http://schemas.openxmlformats.org/officeDocument/2006/relationships/hyperlink" Target="..\&#31995;&#32479;&#22635;&#25253;&#21333;&#25454;&#24402;&#26723;\2_&#32654;&#36890;" TargetMode="External"/><Relationship Id="rId86" Type="http://schemas.openxmlformats.org/officeDocument/2006/relationships/hyperlink" Target="../&#31995;&#32479;&#22635;&#25253;&#21333;&#25454;&#24402;&#26723;/5_&#24658;&#24191;&#36798;" TargetMode="External"/><Relationship Id="rId4" Type="http://schemas.openxmlformats.org/officeDocument/2006/relationships/hyperlink" Target="../&#31995;&#32479;&#22635;&#25253;&#21333;&#25454;&#24402;&#26723;/1_&#23433;&#25463;&#21033;" TargetMode="External"/><Relationship Id="rId9" Type="http://schemas.openxmlformats.org/officeDocument/2006/relationships/hyperlink" Target="../&#31995;&#32479;&#22635;&#25253;&#21333;&#25454;&#24402;&#26723;/1_&#23433;&#25463;&#21033;" TargetMode="External"/><Relationship Id="rId13" Type="http://schemas.openxmlformats.org/officeDocument/2006/relationships/hyperlink" Target="../&#31995;&#32479;&#22635;&#25253;&#21333;&#25454;&#24402;&#26723;/3_&#23433;&#35834;" TargetMode="External"/><Relationship Id="rId18" Type="http://schemas.openxmlformats.org/officeDocument/2006/relationships/hyperlink" Target="../&#31995;&#32479;&#22635;&#25253;&#21333;&#25454;&#24402;&#26723;/4_&#24698;&#36798;" TargetMode="External"/><Relationship Id="rId39" Type="http://schemas.openxmlformats.org/officeDocument/2006/relationships/hyperlink" Target="../&#31995;&#32479;&#22635;&#25253;&#21333;&#25454;&#24402;&#26723;/3_&#23433;&#35834;" TargetMode="External"/><Relationship Id="rId34" Type="http://schemas.openxmlformats.org/officeDocument/2006/relationships/hyperlink" Target="../&#31995;&#32479;&#22635;&#25253;&#21333;&#25454;&#24402;&#26723;/5_&#24658;&#24191;&#36798;" TargetMode="External"/><Relationship Id="rId50" Type="http://schemas.openxmlformats.org/officeDocument/2006/relationships/hyperlink" Target="../&#31995;&#32479;&#22635;&#25253;&#21333;&#25454;&#24402;&#26723;/3_&#23433;&#35834;" TargetMode="External"/><Relationship Id="rId55" Type="http://schemas.openxmlformats.org/officeDocument/2006/relationships/hyperlink" Target="../&#31995;&#32479;&#22635;&#25253;&#21333;&#25454;&#24402;&#26723;/1_&#23433;&#25463;&#21033;" TargetMode="External"/><Relationship Id="rId76" Type="http://schemas.openxmlformats.org/officeDocument/2006/relationships/hyperlink" Target="../&#31995;&#32479;&#22635;&#25253;&#21333;&#25454;&#24402;&#26723;/1_&#23433;&#25463;&#21033;" TargetMode="External"/><Relationship Id="rId7" Type="http://schemas.openxmlformats.org/officeDocument/2006/relationships/hyperlink" Target="../&#31995;&#32479;&#22635;&#25253;&#21333;&#25454;&#24402;&#26723;/1_&#23433;&#25463;&#21033;" TargetMode="External"/><Relationship Id="rId71" Type="http://schemas.openxmlformats.org/officeDocument/2006/relationships/hyperlink" Target="../&#31995;&#32479;&#22635;&#25253;&#21333;&#25454;&#24402;&#26723;/3_&#23433;&#35834;" TargetMode="External"/><Relationship Id="rId2" Type="http://schemas.openxmlformats.org/officeDocument/2006/relationships/hyperlink" Target="../&#31995;&#32479;&#22635;&#25253;&#21333;&#25454;&#24402;&#26723;/1_&#23433;&#25463;&#21033;" TargetMode="External"/><Relationship Id="rId29" Type="http://schemas.openxmlformats.org/officeDocument/2006/relationships/hyperlink" Target="../&#31995;&#32479;&#22635;&#25253;&#21333;&#25454;&#24402;&#26723;/4_&#24698;&#36798;" TargetMode="External"/><Relationship Id="rId24" Type="http://schemas.openxmlformats.org/officeDocument/2006/relationships/hyperlink" Target="../&#31995;&#32479;&#22635;&#25253;&#21333;&#25454;&#24402;&#26723;/1_&#23433;&#25463;&#21033;" TargetMode="External"/><Relationship Id="rId40" Type="http://schemas.openxmlformats.org/officeDocument/2006/relationships/hyperlink" Target="../&#31995;&#32479;&#22635;&#25253;&#21333;&#25454;&#24402;&#26723;/3_&#23433;&#35834;" TargetMode="External"/><Relationship Id="rId45" Type="http://schemas.openxmlformats.org/officeDocument/2006/relationships/hyperlink" Target="../&#31995;&#32479;&#22635;&#25253;&#21333;&#25454;&#24402;&#26723;/3_&#23433;&#35834;" TargetMode="External"/><Relationship Id="rId66" Type="http://schemas.openxmlformats.org/officeDocument/2006/relationships/hyperlink" Target="../&#31995;&#32479;&#22635;&#25253;&#21333;&#25454;&#24402;&#26723;/5_&#24658;&#24191;&#36798;" TargetMode="External"/><Relationship Id="rId87" Type="http://schemas.openxmlformats.org/officeDocument/2006/relationships/hyperlink" Target="../&#31995;&#32479;&#22635;&#25253;&#21333;&#25454;&#24402;&#26723;/5_&#24658;&#24191;&#36798;" TargetMode="External"/><Relationship Id="rId61" Type="http://schemas.openxmlformats.org/officeDocument/2006/relationships/hyperlink" Target="../&#31995;&#32479;&#22635;&#25253;&#21333;&#25454;&#24402;&#26723;/4_&#24698;&#36798;" TargetMode="External"/><Relationship Id="rId82" Type="http://schemas.openxmlformats.org/officeDocument/2006/relationships/hyperlink" Target="../&#31995;&#32479;&#22635;&#25253;&#21333;&#25454;&#24402;&#26723;/4_&#24698;&#36798;" TargetMode="External"/><Relationship Id="rId19" Type="http://schemas.openxmlformats.org/officeDocument/2006/relationships/hyperlink" Target="../&#31995;&#32479;&#22635;&#25253;&#21333;&#25454;&#24402;&#26723;/3_&#23433;&#35834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"/>
  <sheetViews>
    <sheetView zoomScaleNormal="100" workbookViewId="0">
      <selection activeCell="B16" sqref="B16"/>
    </sheetView>
  </sheetViews>
  <sheetFormatPr defaultColWidth="8.6640625" defaultRowHeight="15.05" x14ac:dyDescent="0.25"/>
  <cols>
    <col min="1" max="1" width="16" customWidth="1"/>
    <col min="2" max="2" width="15.6640625" customWidth="1"/>
    <col min="3" max="3" width="9.6640625" customWidth="1"/>
    <col min="8" max="8" width="25.109375" customWidth="1"/>
    <col min="9" max="9" width="27.2187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25">
      <c r="B2" t="s">
        <v>9</v>
      </c>
    </row>
  </sheetData>
  <phoneticPr fontId="3" type="noConversion"/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ML88"/>
  <sheetViews>
    <sheetView tabSelected="1" zoomScaleNormal="100" workbookViewId="0">
      <pane ySplit="1" topLeftCell="A68" activePane="bottomLeft" state="frozen"/>
      <selection pane="bottomLeft" sqref="A1:XFD1"/>
    </sheetView>
  </sheetViews>
  <sheetFormatPr defaultColWidth="8.77734375" defaultRowHeight="15.05" x14ac:dyDescent="0.25"/>
  <cols>
    <col min="1" max="2" width="5.44140625" style="2" customWidth="1"/>
    <col min="3" max="3" width="12.21875" style="3" customWidth="1"/>
    <col min="4" max="4" width="18.77734375" style="2" customWidth="1"/>
    <col min="5" max="6" width="13.5546875" style="2" customWidth="1"/>
    <col min="7" max="9" width="11.33203125" style="2" customWidth="1"/>
    <col min="10" max="10" width="9.5546875" style="2" customWidth="1"/>
    <col min="11" max="11" width="9.6640625" style="2" customWidth="1"/>
    <col min="12" max="12" width="5.44140625" style="2" customWidth="1"/>
    <col min="13" max="13" width="9.6640625" style="2" customWidth="1"/>
    <col min="14" max="14" width="11.33203125" style="2" customWidth="1"/>
    <col min="15" max="15" width="7.33203125" style="2" customWidth="1"/>
    <col min="16" max="16" width="14.6640625" style="2" customWidth="1"/>
    <col min="17" max="17" width="43.77734375" style="3" customWidth="1"/>
    <col min="18" max="18" width="27.21875" style="2" customWidth="1"/>
    <col min="19" max="1026" width="8.77734375" style="2" customWidth="1"/>
  </cols>
  <sheetData>
    <row r="1" spans="1:18" x14ac:dyDescent="0.25">
      <c r="A1" s="4" t="s">
        <v>0</v>
      </c>
      <c r="B1" s="4" t="s">
        <v>10</v>
      </c>
      <c r="C1" s="5" t="s">
        <v>11</v>
      </c>
      <c r="D1" s="4" t="s">
        <v>1</v>
      </c>
      <c r="E1" s="4" t="s">
        <v>12</v>
      </c>
      <c r="F1" s="4" t="s">
        <v>13</v>
      </c>
      <c r="G1" s="4" t="s">
        <v>14</v>
      </c>
      <c r="H1" s="4" t="s">
        <v>15</v>
      </c>
      <c r="I1" s="4" t="s">
        <v>16</v>
      </c>
      <c r="J1" s="4" t="s">
        <v>17</v>
      </c>
      <c r="K1" s="4" t="s">
        <v>2</v>
      </c>
      <c r="L1" s="4" t="s">
        <v>3</v>
      </c>
      <c r="M1" s="4" t="s">
        <v>18</v>
      </c>
      <c r="N1" s="4" t="s">
        <v>5</v>
      </c>
      <c r="O1" s="4" t="s">
        <v>19</v>
      </c>
      <c r="P1" s="4" t="s">
        <v>6</v>
      </c>
      <c r="Q1" s="5" t="s">
        <v>7</v>
      </c>
      <c r="R1" s="4" t="s">
        <v>8</v>
      </c>
    </row>
    <row r="2" spans="1:18" x14ac:dyDescent="0.25">
      <c r="A2" s="2">
        <v>1</v>
      </c>
      <c r="C2" s="3" t="str">
        <f>RIGHT(K2,(LEN(K2)-FIND("_",K2,1)))&amp;"_"&amp;COUNTIF($K$2:K2,K2)</f>
        <v>安捷利_1</v>
      </c>
      <c r="D2" s="2" t="s">
        <v>20</v>
      </c>
      <c r="E2" s="2" t="s">
        <v>21</v>
      </c>
      <c r="F2" s="2" t="s">
        <v>22</v>
      </c>
      <c r="G2" s="2" t="str">
        <f>VLOOKUP(D2,data!A:B,2,0)</f>
        <v>已审核</v>
      </c>
      <c r="H2" s="7" t="s">
        <v>23</v>
      </c>
      <c r="I2" s="15" t="s">
        <v>334</v>
      </c>
      <c r="J2" s="2">
        <v>202411</v>
      </c>
      <c r="K2" s="2" t="s">
        <v>24</v>
      </c>
      <c r="L2" s="2" t="s">
        <v>25</v>
      </c>
      <c r="M2" s="2" t="str">
        <f t="shared" ref="M2:M33" si="0">IF(L2="欧洲","望园香港","望园美国")</f>
        <v>望园香港</v>
      </c>
      <c r="N2" s="2" t="str">
        <f t="shared" ref="N2:N33" si="1">IF(LEFT(D2,2)="FY","费用报销单","费用应付单")</f>
        <v>费用报销单</v>
      </c>
      <c r="O2" s="2" t="s">
        <v>26</v>
      </c>
      <c r="P2" s="2">
        <v>22092.400000000001</v>
      </c>
      <c r="Q2" s="3" t="s">
        <v>27</v>
      </c>
    </row>
    <row r="3" spans="1:18" x14ac:dyDescent="0.25">
      <c r="A3" s="2">
        <v>2</v>
      </c>
      <c r="C3" s="3" t="str">
        <f>RIGHT(K3,(LEN(K3)-FIND("_",K3,1)))&amp;"_"&amp;COUNTIF($K$2:K3,K3)</f>
        <v>安捷利_2</v>
      </c>
      <c r="D3" s="2" t="s">
        <v>28</v>
      </c>
      <c r="E3" s="2" t="s">
        <v>29</v>
      </c>
      <c r="F3" s="2" t="s">
        <v>30</v>
      </c>
      <c r="G3" s="2" t="str">
        <f>VLOOKUP(D3,data!A:B,2,0)</f>
        <v>已审核</v>
      </c>
      <c r="H3" s="7" t="s">
        <v>23</v>
      </c>
      <c r="I3" s="15" t="s">
        <v>334</v>
      </c>
      <c r="J3" s="2">
        <v>202411</v>
      </c>
      <c r="K3" s="2" t="s">
        <v>24</v>
      </c>
      <c r="L3" s="2" t="s">
        <v>25</v>
      </c>
      <c r="M3" s="2" t="str">
        <f t="shared" si="0"/>
        <v>望园香港</v>
      </c>
      <c r="N3" s="2" t="str">
        <f t="shared" si="1"/>
        <v>费用报销单</v>
      </c>
      <c r="O3" s="2" t="s">
        <v>26</v>
      </c>
      <c r="P3" s="2">
        <v>28848.6</v>
      </c>
      <c r="Q3" s="3" t="s">
        <v>31</v>
      </c>
    </row>
    <row r="4" spans="1:18" x14ac:dyDescent="0.25">
      <c r="A4" s="2">
        <v>3</v>
      </c>
      <c r="B4" s="2">
        <v>1</v>
      </c>
      <c r="C4" s="3" t="str">
        <f>RIGHT(K4,(LEN(K4)-FIND("_",K4,1)))&amp;"_"&amp;COUNTIF($K$2:K4,K4)</f>
        <v>安捷利_3</v>
      </c>
      <c r="D4" s="2" t="s">
        <v>32</v>
      </c>
      <c r="E4" s="2" t="s">
        <v>33</v>
      </c>
      <c r="G4" s="2" t="str">
        <f>VLOOKUP(D4,data!A:B,2,0)</f>
        <v>已审核</v>
      </c>
      <c r="H4" s="7" t="s">
        <v>23</v>
      </c>
      <c r="I4" s="15" t="s">
        <v>334</v>
      </c>
      <c r="J4" s="2">
        <v>202411</v>
      </c>
      <c r="K4" s="2" t="s">
        <v>24</v>
      </c>
      <c r="L4" s="2" t="s">
        <v>25</v>
      </c>
      <c r="M4" s="2" t="str">
        <f t="shared" si="0"/>
        <v>望园香港</v>
      </c>
      <c r="N4" s="2" t="str">
        <f t="shared" si="1"/>
        <v>费用报销单</v>
      </c>
      <c r="O4" s="2" t="s">
        <v>26</v>
      </c>
      <c r="P4" s="2">
        <v>62371.21</v>
      </c>
      <c r="Q4" s="3" t="s">
        <v>34</v>
      </c>
    </row>
    <row r="5" spans="1:18" x14ac:dyDescent="0.25">
      <c r="A5" s="2">
        <v>4</v>
      </c>
      <c r="B5" s="2">
        <v>1</v>
      </c>
      <c r="C5" s="3" t="str">
        <f>RIGHT(K5,(LEN(K5)-FIND("_",K5,1)))&amp;"_"&amp;COUNTIF($K$2:K5,K5)</f>
        <v>安诺_1</v>
      </c>
      <c r="D5" s="2" t="s">
        <v>35</v>
      </c>
      <c r="E5" s="2" t="s">
        <v>36</v>
      </c>
      <c r="G5" s="2" t="str">
        <f>VLOOKUP(D5,data!A:B,2,0)</f>
        <v>已审核</v>
      </c>
      <c r="H5" s="7" t="s">
        <v>23</v>
      </c>
      <c r="I5" s="15" t="s">
        <v>334</v>
      </c>
      <c r="J5" s="2">
        <v>202411</v>
      </c>
      <c r="K5" s="2" t="s">
        <v>37</v>
      </c>
      <c r="L5" s="2" t="s">
        <v>25</v>
      </c>
      <c r="M5" s="2" t="str">
        <f t="shared" si="0"/>
        <v>望园香港</v>
      </c>
      <c r="N5" s="2" t="str">
        <f t="shared" si="1"/>
        <v>费用报销单</v>
      </c>
      <c r="O5" s="2" t="s">
        <v>26</v>
      </c>
      <c r="P5" s="2">
        <v>4541.2299999999996</v>
      </c>
      <c r="Q5" s="3" t="s">
        <v>38</v>
      </c>
    </row>
    <row r="6" spans="1:18" x14ac:dyDescent="0.25">
      <c r="A6" s="2">
        <v>5</v>
      </c>
      <c r="B6" s="2">
        <v>1</v>
      </c>
      <c r="C6" s="3" t="str">
        <f>RIGHT(K6,(LEN(K6)-FIND("_",K6,1)))&amp;"_"&amp;COUNTIF($K$2:K6,K6)</f>
        <v>安捷利_4</v>
      </c>
      <c r="D6" s="2" t="s">
        <v>39</v>
      </c>
      <c r="E6" s="2" t="s">
        <v>40</v>
      </c>
      <c r="G6" s="2" t="str">
        <f>VLOOKUP(D6,data!A:B,2,0)</f>
        <v>已审核</v>
      </c>
      <c r="H6" s="7" t="s">
        <v>23</v>
      </c>
      <c r="I6" s="15" t="s">
        <v>334</v>
      </c>
      <c r="J6" s="2">
        <v>202411</v>
      </c>
      <c r="K6" s="2" t="s">
        <v>24</v>
      </c>
      <c r="L6" s="2" t="s">
        <v>25</v>
      </c>
      <c r="M6" s="2" t="str">
        <f t="shared" si="0"/>
        <v>望园香港</v>
      </c>
      <c r="N6" s="2" t="str">
        <f t="shared" si="1"/>
        <v>费用报销单</v>
      </c>
      <c r="O6" s="2" t="s">
        <v>26</v>
      </c>
      <c r="P6" s="2">
        <v>6206.97</v>
      </c>
      <c r="Q6" s="3" t="s">
        <v>41</v>
      </c>
    </row>
    <row r="7" spans="1:18" x14ac:dyDescent="0.25">
      <c r="A7" s="2">
        <v>6</v>
      </c>
      <c r="C7" s="3" t="str">
        <f>RIGHT(K7,(LEN(K7)-FIND("_",K7,1)))&amp;"_"&amp;COUNTIF($K$2:K7,K7)</f>
        <v>安捷利_5</v>
      </c>
      <c r="D7" s="2" t="s">
        <v>42</v>
      </c>
      <c r="E7" s="2" t="s">
        <v>43</v>
      </c>
      <c r="F7" s="2" t="s">
        <v>44</v>
      </c>
      <c r="G7" s="2" t="str">
        <f>VLOOKUP(D7,data!A:B,2,0)</f>
        <v>已审核</v>
      </c>
      <c r="H7" s="7" t="s">
        <v>23</v>
      </c>
      <c r="I7" s="15" t="s">
        <v>334</v>
      </c>
      <c r="J7" s="2">
        <v>202411</v>
      </c>
      <c r="K7" s="2" t="s">
        <v>24</v>
      </c>
      <c r="L7" s="2" t="s">
        <v>25</v>
      </c>
      <c r="M7" s="2" t="str">
        <f t="shared" si="0"/>
        <v>望园香港</v>
      </c>
      <c r="N7" s="2" t="str">
        <f t="shared" si="1"/>
        <v>费用报销单</v>
      </c>
      <c r="O7" s="2" t="s">
        <v>26</v>
      </c>
      <c r="P7" s="2">
        <v>79485.56</v>
      </c>
      <c r="Q7" s="3" t="s">
        <v>45</v>
      </c>
    </row>
    <row r="8" spans="1:18" x14ac:dyDescent="0.25">
      <c r="A8" s="2">
        <v>7</v>
      </c>
      <c r="C8" s="3" t="str">
        <f>RIGHT(K8,(LEN(K8)-FIND("_",K8,1)))&amp;"_"&amp;COUNTIF($K$2:K8,K8)</f>
        <v>安捷利_6</v>
      </c>
      <c r="D8" s="2" t="s">
        <v>46</v>
      </c>
      <c r="E8" s="2" t="s">
        <v>47</v>
      </c>
      <c r="F8" s="2" t="s">
        <v>48</v>
      </c>
      <c r="G8" s="2" t="str">
        <f>VLOOKUP(D8,data!A:B,2,0)</f>
        <v>已审核</v>
      </c>
      <c r="H8" s="7" t="s">
        <v>23</v>
      </c>
      <c r="I8" s="15" t="s">
        <v>334</v>
      </c>
      <c r="J8" s="2">
        <v>202411</v>
      </c>
      <c r="K8" s="2" t="s">
        <v>24</v>
      </c>
      <c r="L8" s="2" t="s">
        <v>25</v>
      </c>
      <c r="M8" s="2" t="str">
        <f t="shared" si="0"/>
        <v>望园香港</v>
      </c>
      <c r="N8" s="2" t="str">
        <f t="shared" si="1"/>
        <v>费用报销单</v>
      </c>
      <c r="O8" s="2" t="s">
        <v>26</v>
      </c>
      <c r="P8" s="2">
        <v>8944.98</v>
      </c>
      <c r="Q8" s="3" t="s">
        <v>41</v>
      </c>
    </row>
    <row r="9" spans="1:18" x14ac:dyDescent="0.25">
      <c r="A9" s="2">
        <v>8</v>
      </c>
      <c r="C9" s="3" t="str">
        <f>RIGHT(K9,(LEN(K9)-FIND("_",K9,1)))&amp;"_"&amp;COUNTIF($K$2:K9,K9)</f>
        <v>安捷利_7</v>
      </c>
      <c r="D9" s="2" t="s">
        <v>49</v>
      </c>
      <c r="E9" s="2" t="s">
        <v>50</v>
      </c>
      <c r="F9" s="2" t="s">
        <v>51</v>
      </c>
      <c r="G9" s="2" t="str">
        <f>VLOOKUP(D9,data!A:B,2,0)</f>
        <v>已审核</v>
      </c>
      <c r="H9" s="7" t="s">
        <v>23</v>
      </c>
      <c r="I9" s="15" t="s">
        <v>334</v>
      </c>
      <c r="J9" s="2">
        <v>202411</v>
      </c>
      <c r="K9" s="2" t="s">
        <v>24</v>
      </c>
      <c r="L9" s="2" t="s">
        <v>25</v>
      </c>
      <c r="M9" s="2" t="str">
        <f t="shared" si="0"/>
        <v>望园香港</v>
      </c>
      <c r="N9" s="2" t="str">
        <f t="shared" si="1"/>
        <v>费用报销单</v>
      </c>
      <c r="O9" s="2" t="s">
        <v>26</v>
      </c>
      <c r="P9" s="2">
        <v>26990.48</v>
      </c>
      <c r="Q9" s="3" t="s">
        <v>52</v>
      </c>
    </row>
    <row r="10" spans="1:18" x14ac:dyDescent="0.25">
      <c r="A10" s="2">
        <v>9</v>
      </c>
      <c r="C10" s="3" t="str">
        <f>RIGHT(K10,(LEN(K10)-FIND("_",K10,1)))&amp;"_"&amp;COUNTIF($K$2:K10,K10)</f>
        <v>安捷利_8</v>
      </c>
      <c r="D10" s="2" t="s">
        <v>53</v>
      </c>
      <c r="E10" s="2" t="s">
        <v>54</v>
      </c>
      <c r="F10" s="2" t="s">
        <v>55</v>
      </c>
      <c r="G10" s="2" t="str">
        <f>VLOOKUP(D10,data!A:B,2,0)</f>
        <v>已审核</v>
      </c>
      <c r="H10" s="7" t="s">
        <v>23</v>
      </c>
      <c r="I10" s="15" t="s">
        <v>334</v>
      </c>
      <c r="J10" s="2">
        <v>202411</v>
      </c>
      <c r="K10" s="2" t="s">
        <v>24</v>
      </c>
      <c r="L10" s="2" t="s">
        <v>56</v>
      </c>
      <c r="M10" s="2" t="str">
        <f t="shared" si="0"/>
        <v>望园美国</v>
      </c>
      <c r="N10" s="2" t="str">
        <f t="shared" si="1"/>
        <v>费用报销单</v>
      </c>
      <c r="O10" s="2" t="s">
        <v>26</v>
      </c>
      <c r="P10" s="2">
        <v>15714</v>
      </c>
      <c r="Q10" s="3" t="s">
        <v>57</v>
      </c>
    </row>
    <row r="11" spans="1:18" x14ac:dyDescent="0.25">
      <c r="A11" s="2">
        <v>10</v>
      </c>
      <c r="C11" s="3" t="str">
        <f>RIGHT(K11,(LEN(K11)-FIND("_",K11,1)))&amp;"_"&amp;COUNTIF($K$2:K11,K11)</f>
        <v>安捷利_9</v>
      </c>
      <c r="D11" s="2" t="s">
        <v>58</v>
      </c>
      <c r="E11" s="2" t="s">
        <v>59</v>
      </c>
      <c r="F11" s="2" t="s">
        <v>60</v>
      </c>
      <c r="G11" s="2" t="str">
        <f>VLOOKUP(D11,data!A:B,2,0)</f>
        <v>已审核</v>
      </c>
      <c r="H11" s="7" t="s">
        <v>23</v>
      </c>
      <c r="I11" s="15" t="s">
        <v>334</v>
      </c>
      <c r="J11" s="2">
        <v>202411</v>
      </c>
      <c r="K11" s="2" t="s">
        <v>24</v>
      </c>
      <c r="L11" s="2" t="s">
        <v>56</v>
      </c>
      <c r="M11" s="2" t="str">
        <f t="shared" si="0"/>
        <v>望园美国</v>
      </c>
      <c r="N11" s="2" t="str">
        <f t="shared" si="1"/>
        <v>费用报销单</v>
      </c>
      <c r="O11" s="2" t="s">
        <v>26</v>
      </c>
      <c r="P11" s="2">
        <v>2586.96</v>
      </c>
      <c r="Q11" s="3" t="s">
        <v>61</v>
      </c>
    </row>
    <row r="12" spans="1:18" x14ac:dyDescent="0.25">
      <c r="A12" s="2">
        <v>11</v>
      </c>
      <c r="B12" s="2">
        <v>1</v>
      </c>
      <c r="C12" s="3" t="str">
        <f>RIGHT(K12,(LEN(K12)-FIND("_",K12,1)))&amp;"_"&amp;COUNTIF($K$2:K12,K12)</f>
        <v>安诺_2</v>
      </c>
      <c r="D12" s="2" t="s">
        <v>62</v>
      </c>
      <c r="E12" s="2" t="s">
        <v>63</v>
      </c>
      <c r="G12" s="2" t="str">
        <f>VLOOKUP(D12,data!A:B,2,0)</f>
        <v>已审核</v>
      </c>
      <c r="H12" s="7" t="s">
        <v>23</v>
      </c>
      <c r="I12" s="15" t="s">
        <v>334</v>
      </c>
      <c r="J12" s="2">
        <v>202411</v>
      </c>
      <c r="K12" s="2" t="s">
        <v>37</v>
      </c>
      <c r="L12" s="2" t="s">
        <v>56</v>
      </c>
      <c r="M12" s="2" t="str">
        <f t="shared" si="0"/>
        <v>望园美国</v>
      </c>
      <c r="N12" s="2" t="str">
        <f t="shared" si="1"/>
        <v>费用报销单</v>
      </c>
      <c r="O12" s="2" t="s">
        <v>26</v>
      </c>
      <c r="P12" s="2">
        <v>237.53</v>
      </c>
      <c r="Q12" s="3" t="s">
        <v>64</v>
      </c>
    </row>
    <row r="13" spans="1:18" x14ac:dyDescent="0.25">
      <c r="A13" s="2">
        <v>12</v>
      </c>
      <c r="B13" s="2">
        <v>1</v>
      </c>
      <c r="C13" s="3" t="str">
        <f>RIGHT(K13,(LEN(K13)-FIND("_",K13,1)))&amp;"_"&amp;COUNTIF($K$2:K13,K13)</f>
        <v>安诺_3</v>
      </c>
      <c r="D13" s="2" t="s">
        <v>65</v>
      </c>
      <c r="E13" s="2" t="s">
        <v>66</v>
      </c>
      <c r="G13" s="2" t="str">
        <f>VLOOKUP(D13,data!A:B,2,0)</f>
        <v>已审核</v>
      </c>
      <c r="H13" s="7" t="s">
        <v>23</v>
      </c>
      <c r="I13" s="15" t="s">
        <v>334</v>
      </c>
      <c r="J13" s="2">
        <v>202411</v>
      </c>
      <c r="K13" s="2" t="s">
        <v>37</v>
      </c>
      <c r="L13" s="2" t="s">
        <v>56</v>
      </c>
      <c r="M13" s="2" t="str">
        <f t="shared" si="0"/>
        <v>望园美国</v>
      </c>
      <c r="N13" s="2" t="str">
        <f t="shared" si="1"/>
        <v>费用报销单</v>
      </c>
      <c r="O13" s="2" t="s">
        <v>26</v>
      </c>
      <c r="P13" s="2">
        <v>2099.96</v>
      </c>
      <c r="Q13" s="3" t="s">
        <v>67</v>
      </c>
    </row>
    <row r="14" spans="1:18" x14ac:dyDescent="0.25">
      <c r="A14" s="2">
        <v>13</v>
      </c>
      <c r="B14" s="2">
        <v>1</v>
      </c>
      <c r="C14" s="3" t="str">
        <f>RIGHT(K14,(LEN(K14)-FIND("_",K14,1)))&amp;"_"&amp;COUNTIF($K$2:K14,K14)</f>
        <v>安诺_4</v>
      </c>
      <c r="D14" s="2" t="s">
        <v>68</v>
      </c>
      <c r="E14" s="2" t="s">
        <v>69</v>
      </c>
      <c r="G14" s="2" t="str">
        <f>VLOOKUP(D14,data!A:B,2,0)</f>
        <v>已审核</v>
      </c>
      <c r="H14" s="7" t="s">
        <v>23</v>
      </c>
      <c r="I14" s="15" t="s">
        <v>334</v>
      </c>
      <c r="J14" s="2">
        <v>202411</v>
      </c>
      <c r="K14" s="2" t="s">
        <v>37</v>
      </c>
      <c r="L14" s="2" t="s">
        <v>56</v>
      </c>
      <c r="M14" s="2" t="str">
        <f t="shared" si="0"/>
        <v>望园美国</v>
      </c>
      <c r="N14" s="2" t="str">
        <f t="shared" si="1"/>
        <v>费用报销单</v>
      </c>
      <c r="O14" s="2" t="s">
        <v>26</v>
      </c>
      <c r="P14" s="2">
        <v>18183.599999999999</v>
      </c>
      <c r="Q14" s="3" t="s">
        <v>70</v>
      </c>
    </row>
    <row r="15" spans="1:18" x14ac:dyDescent="0.25">
      <c r="A15" s="2">
        <v>14</v>
      </c>
      <c r="B15" s="2">
        <v>1</v>
      </c>
      <c r="C15" s="3" t="str">
        <f>RIGHT(K15,(LEN(K15)-FIND("_",K15,1)))&amp;"_"&amp;COUNTIF($K$2:K15,K15)</f>
        <v>安诺_5</v>
      </c>
      <c r="D15" s="2" t="s">
        <v>71</v>
      </c>
      <c r="E15" s="2" t="s">
        <v>72</v>
      </c>
      <c r="G15" s="2" t="str">
        <f>VLOOKUP(D15,data!A:B,2,0)</f>
        <v>已审核</v>
      </c>
      <c r="H15" s="7" t="s">
        <v>23</v>
      </c>
      <c r="I15" s="15" t="s">
        <v>334</v>
      </c>
      <c r="J15" s="2">
        <v>202411</v>
      </c>
      <c r="K15" s="2" t="s">
        <v>37</v>
      </c>
      <c r="L15" s="2" t="s">
        <v>56</v>
      </c>
      <c r="M15" s="2" t="str">
        <f t="shared" si="0"/>
        <v>望园美国</v>
      </c>
      <c r="N15" s="2" t="str">
        <f t="shared" si="1"/>
        <v>费用报销单</v>
      </c>
      <c r="O15" s="2" t="s">
        <v>26</v>
      </c>
      <c r="P15" s="2">
        <v>1030</v>
      </c>
      <c r="Q15" s="3" t="s">
        <v>73</v>
      </c>
    </row>
    <row r="16" spans="1:18" x14ac:dyDescent="0.25">
      <c r="A16" s="2">
        <v>15</v>
      </c>
      <c r="B16" s="2">
        <v>1</v>
      </c>
      <c r="C16" s="3" t="str">
        <f>RIGHT(K16,(LEN(K16)-FIND("_",K16,1)))&amp;"_"&amp;COUNTIF($K$2:K16,K16)</f>
        <v>恒广达_1</v>
      </c>
      <c r="D16" s="2" t="s">
        <v>9</v>
      </c>
      <c r="E16" s="2" t="s">
        <v>74</v>
      </c>
      <c r="G16" s="2" t="str">
        <f>VLOOKUP(D16,data!A:B,2,0)</f>
        <v>已审核</v>
      </c>
      <c r="H16" s="7" t="s">
        <v>23</v>
      </c>
      <c r="I16" s="15" t="s">
        <v>334</v>
      </c>
      <c r="J16" s="2">
        <v>202412</v>
      </c>
      <c r="K16" s="2" t="s">
        <v>75</v>
      </c>
      <c r="L16" s="2" t="s">
        <v>56</v>
      </c>
      <c r="M16" s="2" t="str">
        <f t="shared" si="0"/>
        <v>望园美国</v>
      </c>
      <c r="N16" s="2" t="str">
        <f t="shared" si="1"/>
        <v>费用报销单</v>
      </c>
      <c r="O16" s="2" t="s">
        <v>26</v>
      </c>
      <c r="P16" s="2">
        <v>60032.93</v>
      </c>
      <c r="Q16" s="3" t="s">
        <v>76</v>
      </c>
    </row>
    <row r="17" spans="1:17" ht="17.100000000000001" customHeight="1" x14ac:dyDescent="0.25">
      <c r="A17" s="2">
        <v>16</v>
      </c>
      <c r="B17" s="2">
        <v>1</v>
      </c>
      <c r="C17" s="3" t="str">
        <f>RIGHT(K17,(LEN(K17)-FIND("_",K17,1)))&amp;"_"&amp;COUNTIF($K$2:K17,K17)</f>
        <v>恺达_1</v>
      </c>
      <c r="D17" s="2" t="s">
        <v>77</v>
      </c>
      <c r="E17" s="2" t="s">
        <v>78</v>
      </c>
      <c r="G17" s="2" t="str">
        <f>VLOOKUP(D17,data!A:B,2,0)</f>
        <v>已审核</v>
      </c>
      <c r="H17" s="7" t="s">
        <v>23</v>
      </c>
      <c r="I17" s="15" t="s">
        <v>334</v>
      </c>
      <c r="J17" s="2">
        <v>202411</v>
      </c>
      <c r="K17" s="2" t="s">
        <v>79</v>
      </c>
      <c r="L17" s="2" t="s">
        <v>80</v>
      </c>
      <c r="M17" s="2" t="str">
        <f t="shared" si="0"/>
        <v>望园美国</v>
      </c>
      <c r="N17" s="2" t="str">
        <f t="shared" si="1"/>
        <v>费用报销单</v>
      </c>
      <c r="O17" s="2" t="s">
        <v>26</v>
      </c>
      <c r="P17" s="2">
        <v>8917.16</v>
      </c>
      <c r="Q17" s="3" t="s">
        <v>81</v>
      </c>
    </row>
    <row r="18" spans="1:17" x14ac:dyDescent="0.25">
      <c r="A18" s="2">
        <v>17</v>
      </c>
      <c r="B18" s="2">
        <v>1</v>
      </c>
      <c r="C18" s="3" t="str">
        <f>RIGHT(K18,(LEN(K18)-FIND("_",K18,1)))&amp;"_"&amp;COUNTIF($K$2:K18,K18)</f>
        <v>恺达_2</v>
      </c>
      <c r="D18" s="2" t="s">
        <v>82</v>
      </c>
      <c r="E18" s="2" t="s">
        <v>83</v>
      </c>
      <c r="G18" s="2" t="str">
        <f>VLOOKUP(D18,data!A:B,2,0)</f>
        <v>已审核</v>
      </c>
      <c r="H18" s="7" t="s">
        <v>23</v>
      </c>
      <c r="I18" s="15" t="s">
        <v>334</v>
      </c>
      <c r="J18" s="2">
        <v>202411</v>
      </c>
      <c r="K18" s="2" t="s">
        <v>79</v>
      </c>
      <c r="L18" s="2" t="s">
        <v>56</v>
      </c>
      <c r="M18" s="2" t="str">
        <f t="shared" si="0"/>
        <v>望园美国</v>
      </c>
      <c r="N18" s="2" t="str">
        <f t="shared" si="1"/>
        <v>费用报销单</v>
      </c>
      <c r="O18" s="2" t="s">
        <v>26</v>
      </c>
      <c r="P18" s="2">
        <v>1414.86</v>
      </c>
      <c r="Q18" s="3" t="s">
        <v>84</v>
      </c>
    </row>
    <row r="19" spans="1:17" x14ac:dyDescent="0.25">
      <c r="A19" s="2">
        <v>18</v>
      </c>
      <c r="B19" s="2">
        <v>1</v>
      </c>
      <c r="C19" s="3" t="str">
        <f>RIGHT(K19,(LEN(K19)-FIND("_",K19,1)))&amp;"_"&amp;COUNTIF($K$2:K19,K19)</f>
        <v>安诺_6</v>
      </c>
      <c r="D19" s="2" t="s">
        <v>85</v>
      </c>
      <c r="E19" s="2" t="s">
        <v>86</v>
      </c>
      <c r="G19" s="2" t="str">
        <f>VLOOKUP(D19,data!A:B,2,0)</f>
        <v>已审核</v>
      </c>
      <c r="H19" s="7" t="s">
        <v>23</v>
      </c>
      <c r="I19" s="15" t="s">
        <v>334</v>
      </c>
      <c r="J19" s="2">
        <v>202411</v>
      </c>
      <c r="K19" s="2" t="s">
        <v>37</v>
      </c>
      <c r="L19" s="2" t="s">
        <v>56</v>
      </c>
      <c r="M19" s="2" t="str">
        <f t="shared" si="0"/>
        <v>望园美国</v>
      </c>
      <c r="N19" s="2" t="str">
        <f t="shared" si="1"/>
        <v>费用报销单</v>
      </c>
      <c r="O19" s="2" t="s">
        <v>26</v>
      </c>
      <c r="P19" s="2">
        <v>991</v>
      </c>
      <c r="Q19" s="3" t="s">
        <v>87</v>
      </c>
    </row>
    <row r="20" spans="1:17" x14ac:dyDescent="0.25">
      <c r="A20" s="2">
        <v>19</v>
      </c>
      <c r="B20" s="2">
        <v>1</v>
      </c>
      <c r="C20" s="3" t="str">
        <f>RIGHT(K20,(LEN(K20)-FIND("_",K20,1)))&amp;"_"&amp;COUNTIF($K$2:K20,K20)</f>
        <v>恺达_3</v>
      </c>
      <c r="D20" s="2" t="s">
        <v>88</v>
      </c>
      <c r="E20" s="2" t="s">
        <v>89</v>
      </c>
      <c r="G20" s="2" t="str">
        <f>VLOOKUP(D20,data!A:B,2,0)</f>
        <v>已审核</v>
      </c>
      <c r="H20" s="7" t="s">
        <v>23</v>
      </c>
      <c r="I20" s="15" t="s">
        <v>334</v>
      </c>
      <c r="J20" s="2">
        <v>202411</v>
      </c>
      <c r="K20" s="2" t="s">
        <v>79</v>
      </c>
      <c r="L20" s="2" t="s">
        <v>56</v>
      </c>
      <c r="M20" s="2" t="str">
        <f t="shared" si="0"/>
        <v>望园美国</v>
      </c>
      <c r="N20" s="2" t="str">
        <f t="shared" si="1"/>
        <v>费用报销单</v>
      </c>
      <c r="O20" s="2" t="s">
        <v>26</v>
      </c>
      <c r="P20" s="2">
        <v>2452.64</v>
      </c>
      <c r="Q20" s="3" t="s">
        <v>90</v>
      </c>
    </row>
    <row r="21" spans="1:17" x14ac:dyDescent="0.25">
      <c r="A21" s="2">
        <v>20</v>
      </c>
      <c r="C21" s="3" t="str">
        <f>RIGHT(K21,(LEN(K21)-FIND("_",K21,1)))&amp;"_"&amp;COUNTIF($K$2:K21,K21)</f>
        <v>安捷利_10</v>
      </c>
      <c r="D21" s="6" t="s">
        <v>91</v>
      </c>
      <c r="E21" s="2" t="s">
        <v>92</v>
      </c>
      <c r="F21" s="2" t="s">
        <v>93</v>
      </c>
      <c r="G21" s="2" t="str">
        <f>VLOOKUP(D21,data!A:B,2,0)</f>
        <v>已审核</v>
      </c>
      <c r="H21" s="7" t="s">
        <v>23</v>
      </c>
      <c r="I21" s="15" t="s">
        <v>334</v>
      </c>
      <c r="J21" s="2">
        <v>202411</v>
      </c>
      <c r="K21" s="2" t="s">
        <v>24</v>
      </c>
      <c r="L21" s="2" t="s">
        <v>56</v>
      </c>
      <c r="M21" s="2" t="str">
        <f t="shared" si="0"/>
        <v>望园美国</v>
      </c>
      <c r="N21" s="2" t="str">
        <f t="shared" si="1"/>
        <v>费用应付单</v>
      </c>
      <c r="O21" s="2" t="s">
        <v>26</v>
      </c>
      <c r="P21" s="2">
        <v>1225.83</v>
      </c>
      <c r="Q21" s="3" t="s">
        <v>94</v>
      </c>
    </row>
    <row r="22" spans="1:17" x14ac:dyDescent="0.25">
      <c r="A22" s="2">
        <v>21</v>
      </c>
      <c r="C22" s="3" t="str">
        <f>RIGHT(K22,(LEN(K22)-FIND("_",K22,1)))&amp;"_"&amp;COUNTIF($K$2:K22,K22)</f>
        <v>安捷利_11</v>
      </c>
      <c r="D22" s="2" t="s">
        <v>95</v>
      </c>
      <c r="G22" s="2" t="str">
        <f>VLOOKUP(D22,data!A:B,2,0)</f>
        <v>重新审核</v>
      </c>
      <c r="H22" s="8" t="s">
        <v>96</v>
      </c>
      <c r="I22" s="13">
        <f ca="1">NOW()-VLOOKUP(D22,data!A:D,4,0)</f>
        <v>17.181848379615985</v>
      </c>
      <c r="J22" s="2">
        <v>202411</v>
      </c>
      <c r="K22" s="2" t="s">
        <v>24</v>
      </c>
      <c r="L22" s="2" t="s">
        <v>80</v>
      </c>
      <c r="M22" s="2" t="str">
        <f t="shared" si="0"/>
        <v>望园美国</v>
      </c>
      <c r="N22" s="2" t="str">
        <f t="shared" si="1"/>
        <v>费用应付单</v>
      </c>
      <c r="O22" s="2" t="s">
        <v>26</v>
      </c>
      <c r="P22" s="2">
        <v>3322.37</v>
      </c>
      <c r="Q22" s="3" t="s">
        <v>97</v>
      </c>
    </row>
    <row r="23" spans="1:17" x14ac:dyDescent="0.25">
      <c r="A23" s="2">
        <v>22</v>
      </c>
      <c r="B23" s="2">
        <v>1</v>
      </c>
      <c r="C23" s="3" t="str">
        <f>RIGHT(K23,(LEN(K23)-FIND("_",K23,1)))&amp;"_"&amp;COUNTIF($K$2:K23,K23)</f>
        <v>恒广达_2</v>
      </c>
      <c r="D23" s="2" t="s">
        <v>98</v>
      </c>
      <c r="E23" s="2" t="s">
        <v>99</v>
      </c>
      <c r="G23" s="2" t="str">
        <f>VLOOKUP(D23,data!A:B,2,0)</f>
        <v>已审核</v>
      </c>
      <c r="H23" s="7" t="s">
        <v>23</v>
      </c>
      <c r="I23" s="15" t="s">
        <v>334</v>
      </c>
      <c r="J23" s="2">
        <v>202412</v>
      </c>
      <c r="K23" s="2" t="s">
        <v>75</v>
      </c>
      <c r="L23" s="2" t="s">
        <v>80</v>
      </c>
      <c r="M23" s="2" t="str">
        <f t="shared" si="0"/>
        <v>望园美国</v>
      </c>
      <c r="N23" s="2" t="str">
        <f t="shared" si="1"/>
        <v>费用报销单</v>
      </c>
      <c r="O23" s="2" t="s">
        <v>26</v>
      </c>
      <c r="P23" s="2">
        <v>5430.65</v>
      </c>
      <c r="Q23" s="3" t="s">
        <v>100</v>
      </c>
    </row>
    <row r="24" spans="1:17" x14ac:dyDescent="0.25">
      <c r="A24" s="2">
        <v>23</v>
      </c>
      <c r="C24" s="3" t="str">
        <f>RIGHT(K24,(LEN(K24)-FIND("_",K24,1)))&amp;"_"&amp;COUNTIF($K$2:K24,K24)</f>
        <v>安捷利_12</v>
      </c>
      <c r="D24" s="2" t="s">
        <v>101</v>
      </c>
      <c r="E24" s="2" t="s">
        <v>102</v>
      </c>
      <c r="F24" s="2" t="s">
        <v>103</v>
      </c>
      <c r="G24" s="2" t="str">
        <f>VLOOKUP(D24,data!A:B,2,0)</f>
        <v>已审核</v>
      </c>
      <c r="H24" s="7" t="s">
        <v>23</v>
      </c>
      <c r="I24" s="15" t="s">
        <v>334</v>
      </c>
      <c r="J24" s="2">
        <v>202411</v>
      </c>
      <c r="K24" s="2" t="s">
        <v>24</v>
      </c>
      <c r="L24" s="2" t="s">
        <v>25</v>
      </c>
      <c r="M24" s="2" t="str">
        <f t="shared" si="0"/>
        <v>望园香港</v>
      </c>
      <c r="N24" s="2" t="str">
        <f t="shared" si="1"/>
        <v>费用应付单</v>
      </c>
      <c r="O24" s="2" t="s">
        <v>26</v>
      </c>
      <c r="P24" s="2">
        <v>39414.58</v>
      </c>
      <c r="Q24" s="3" t="s">
        <v>104</v>
      </c>
    </row>
    <row r="25" spans="1:17" x14ac:dyDescent="0.25">
      <c r="A25" s="2">
        <v>24</v>
      </c>
      <c r="C25" s="3" t="str">
        <f>RIGHT(K25,(LEN(K25)-FIND("_",K25,1)))&amp;"_"&amp;COUNTIF($K$2:K25,K25)</f>
        <v>安诺_7</v>
      </c>
      <c r="D25" s="2" t="s">
        <v>105</v>
      </c>
      <c r="E25" s="2" t="s">
        <v>106</v>
      </c>
      <c r="F25" s="2" t="s">
        <v>107</v>
      </c>
      <c r="G25" s="2" t="str">
        <f>VLOOKUP(D25,data!A:B,2,0)</f>
        <v>已审核</v>
      </c>
      <c r="H25" s="7" t="s">
        <v>23</v>
      </c>
      <c r="I25" s="15" t="s">
        <v>334</v>
      </c>
      <c r="J25" s="2">
        <v>202411</v>
      </c>
      <c r="K25" s="2" t="s">
        <v>37</v>
      </c>
      <c r="L25" s="2" t="s">
        <v>56</v>
      </c>
      <c r="M25" s="2" t="str">
        <f t="shared" si="0"/>
        <v>望园美国</v>
      </c>
      <c r="N25" s="2" t="str">
        <f t="shared" si="1"/>
        <v>费用应付单</v>
      </c>
      <c r="O25" s="2" t="s">
        <v>26</v>
      </c>
      <c r="P25" s="2">
        <v>24604.53</v>
      </c>
      <c r="Q25" s="3" t="s">
        <v>108</v>
      </c>
    </row>
    <row r="26" spans="1:17" x14ac:dyDescent="0.25">
      <c r="A26" s="2">
        <v>25</v>
      </c>
      <c r="B26" s="2">
        <v>1</v>
      </c>
      <c r="C26" s="3" t="str">
        <f>RIGHT(K26,(LEN(K26)-FIND("_",K26,1)))&amp;"_"&amp;COUNTIF($K$2:K26,K26)</f>
        <v>美通_1</v>
      </c>
      <c r="D26" s="2" t="s">
        <v>109</v>
      </c>
      <c r="E26" s="2" t="s">
        <v>110</v>
      </c>
      <c r="G26" s="2" t="str">
        <f>VLOOKUP(D26,data!A:B,2,0)</f>
        <v>已审核</v>
      </c>
      <c r="H26" s="7" t="s">
        <v>23</v>
      </c>
      <c r="I26" s="15" t="s">
        <v>334</v>
      </c>
      <c r="J26" s="2">
        <v>202411</v>
      </c>
      <c r="K26" s="2" t="s">
        <v>111</v>
      </c>
      <c r="L26" s="2" t="s">
        <v>56</v>
      </c>
      <c r="M26" s="2" t="str">
        <f t="shared" si="0"/>
        <v>望园美国</v>
      </c>
      <c r="N26" s="2" t="str">
        <f t="shared" si="1"/>
        <v>费用应付单</v>
      </c>
      <c r="O26" s="2" t="s">
        <v>26</v>
      </c>
      <c r="P26" s="2">
        <v>18007</v>
      </c>
      <c r="Q26" s="3" t="s">
        <v>112</v>
      </c>
    </row>
    <row r="27" spans="1:17" x14ac:dyDescent="0.25">
      <c r="A27" s="2">
        <v>26</v>
      </c>
      <c r="B27" s="2">
        <v>1</v>
      </c>
      <c r="C27" s="3" t="str">
        <f>RIGHT(K27,(LEN(K27)-FIND("_",K27,1)))&amp;"_"&amp;COUNTIF($K$2:K27,K27)</f>
        <v>盘古_1</v>
      </c>
      <c r="D27" s="2" t="s">
        <v>113</v>
      </c>
      <c r="E27" s="2" t="s">
        <v>33</v>
      </c>
      <c r="G27" s="2" t="str">
        <f>VLOOKUP(D27,data!A:B,2,0)</f>
        <v>已审核</v>
      </c>
      <c r="H27" s="7" t="s">
        <v>23</v>
      </c>
      <c r="I27" s="15" t="s">
        <v>334</v>
      </c>
      <c r="J27" s="2">
        <v>202412</v>
      </c>
      <c r="K27" s="2" t="s">
        <v>114</v>
      </c>
      <c r="L27" s="2" t="s">
        <v>25</v>
      </c>
      <c r="M27" s="2" t="str">
        <f t="shared" si="0"/>
        <v>望园香港</v>
      </c>
      <c r="N27" s="2" t="str">
        <f t="shared" si="1"/>
        <v>费用报销单</v>
      </c>
      <c r="O27" s="2" t="s">
        <v>115</v>
      </c>
      <c r="P27" s="2">
        <v>1212.4680000000001</v>
      </c>
      <c r="Q27" s="3" t="s">
        <v>116</v>
      </c>
    </row>
    <row r="28" spans="1:17" x14ac:dyDescent="0.25">
      <c r="A28" s="2">
        <v>27</v>
      </c>
      <c r="B28" s="2">
        <v>1</v>
      </c>
      <c r="C28" s="3" t="str">
        <f>RIGHT(K28,(LEN(K28)-FIND("_",K28,1)))&amp;"_"&amp;COUNTIF($K$2:K28,K28)</f>
        <v>恺达_4</v>
      </c>
      <c r="D28" s="2" t="s">
        <v>117</v>
      </c>
      <c r="E28" s="2" t="s">
        <v>118</v>
      </c>
      <c r="G28" s="2" t="str">
        <f>VLOOKUP(D28,data!A:B,2,0)</f>
        <v>已审核</v>
      </c>
      <c r="H28" s="7" t="s">
        <v>23</v>
      </c>
      <c r="I28" s="15" t="s">
        <v>334</v>
      </c>
      <c r="J28" s="2">
        <v>202412</v>
      </c>
      <c r="K28" s="2" t="s">
        <v>79</v>
      </c>
      <c r="L28" s="2" t="s">
        <v>56</v>
      </c>
      <c r="M28" s="2" t="str">
        <f t="shared" si="0"/>
        <v>望园美国</v>
      </c>
      <c r="N28" s="2" t="str">
        <f t="shared" si="1"/>
        <v>费用应付单</v>
      </c>
      <c r="O28" s="2" t="s">
        <v>26</v>
      </c>
      <c r="P28" s="2">
        <v>22098.47</v>
      </c>
      <c r="Q28" s="3" t="s">
        <v>119</v>
      </c>
    </row>
    <row r="29" spans="1:17" x14ac:dyDescent="0.25">
      <c r="A29" s="2">
        <v>28</v>
      </c>
      <c r="B29" s="2">
        <v>1</v>
      </c>
      <c r="C29" s="3" t="str">
        <f>RIGHT(K29,(LEN(K29)-FIND("_",K29,1)))&amp;"_"&amp;COUNTIF($K$2:K29,K29)</f>
        <v>恺达_5</v>
      </c>
      <c r="D29" s="2" t="s">
        <v>120</v>
      </c>
      <c r="E29" s="2" t="s">
        <v>121</v>
      </c>
      <c r="G29" s="2" t="str">
        <f>VLOOKUP(D29,data!A:B,2,0)</f>
        <v>已审核</v>
      </c>
      <c r="H29" s="7" t="s">
        <v>23</v>
      </c>
      <c r="I29" s="15" t="s">
        <v>334</v>
      </c>
      <c r="J29" s="2">
        <v>202412</v>
      </c>
      <c r="K29" s="2" t="s">
        <v>79</v>
      </c>
      <c r="L29" s="2" t="s">
        <v>56</v>
      </c>
      <c r="M29" s="2" t="str">
        <f t="shared" si="0"/>
        <v>望园美国</v>
      </c>
      <c r="N29" s="2" t="str">
        <f t="shared" si="1"/>
        <v>费用报销单</v>
      </c>
      <c r="O29" s="2" t="s">
        <v>26</v>
      </c>
      <c r="P29" s="2">
        <v>1876.82</v>
      </c>
      <c r="Q29" s="3" t="s">
        <v>122</v>
      </c>
    </row>
    <row r="30" spans="1:17" x14ac:dyDescent="0.25">
      <c r="A30" s="2">
        <v>29</v>
      </c>
      <c r="C30" s="3" t="str">
        <f>RIGHT(K30,(LEN(K30)-FIND("_",K30,1)))&amp;"_"&amp;COUNTIF($K$2:K30,K30)</f>
        <v>安诺_8</v>
      </c>
      <c r="D30" s="2" t="s">
        <v>123</v>
      </c>
      <c r="E30" s="2" t="s">
        <v>124</v>
      </c>
      <c r="F30" s="2" t="s">
        <v>125</v>
      </c>
      <c r="G30" s="2" t="str">
        <f>VLOOKUP(D30,data!A:B,2,0)</f>
        <v>已审核</v>
      </c>
      <c r="H30" s="7" t="s">
        <v>23</v>
      </c>
      <c r="I30" s="15" t="s">
        <v>334</v>
      </c>
      <c r="J30" s="2">
        <v>202412</v>
      </c>
      <c r="K30" s="2" t="s">
        <v>37</v>
      </c>
      <c r="L30" s="2" t="s">
        <v>56</v>
      </c>
      <c r="M30" s="2" t="str">
        <f t="shared" si="0"/>
        <v>望园美国</v>
      </c>
      <c r="N30" s="2" t="str">
        <f t="shared" si="1"/>
        <v>费用报销单</v>
      </c>
      <c r="O30" s="2" t="s">
        <v>26</v>
      </c>
      <c r="P30" s="2">
        <v>151.58000000000001</v>
      </c>
      <c r="Q30" s="3" t="s">
        <v>126</v>
      </c>
    </row>
    <row r="31" spans="1:17" x14ac:dyDescent="0.25">
      <c r="A31" s="2">
        <v>30</v>
      </c>
      <c r="C31" s="3" t="str">
        <f>RIGHT(K31,(LEN(K31)-FIND("_",K31,1)))&amp;"_"&amp;COUNTIF($K$2:K31,K31)</f>
        <v>安诺_9</v>
      </c>
      <c r="D31" s="2" t="s">
        <v>127</v>
      </c>
      <c r="E31" s="2" t="s">
        <v>128</v>
      </c>
      <c r="F31" s="2" t="s">
        <v>129</v>
      </c>
      <c r="G31" s="2" t="str">
        <f>VLOOKUP(D31,data!A:B,2,0)</f>
        <v>已审核</v>
      </c>
      <c r="H31" s="7" t="s">
        <v>23</v>
      </c>
      <c r="I31" s="15" t="s">
        <v>334</v>
      </c>
      <c r="J31" s="2">
        <v>202412</v>
      </c>
      <c r="K31" s="2" t="s">
        <v>37</v>
      </c>
      <c r="L31" s="2" t="s">
        <v>56</v>
      </c>
      <c r="M31" s="2" t="str">
        <f t="shared" si="0"/>
        <v>望园美国</v>
      </c>
      <c r="N31" s="2" t="str">
        <f t="shared" si="1"/>
        <v>费用应付单</v>
      </c>
      <c r="O31" s="2" t="s">
        <v>26</v>
      </c>
      <c r="P31" s="2">
        <v>935</v>
      </c>
      <c r="Q31" s="3" t="s">
        <v>130</v>
      </c>
    </row>
    <row r="32" spans="1:17" x14ac:dyDescent="0.25">
      <c r="A32" s="2">
        <v>31</v>
      </c>
      <c r="C32" s="3" t="str">
        <f>RIGHT(K32,(LEN(K32)-FIND("_",K32,1)))&amp;"_"&amp;COUNTIF($K$2:K32,K32)</f>
        <v>安诺_10</v>
      </c>
      <c r="D32" s="2" t="s">
        <v>131</v>
      </c>
      <c r="E32" s="2" t="s">
        <v>132</v>
      </c>
      <c r="F32" s="2" t="s">
        <v>133</v>
      </c>
      <c r="G32" s="2" t="str">
        <f>VLOOKUP(D32,data!A:B,2,0)</f>
        <v>已审核</v>
      </c>
      <c r="H32" s="7" t="s">
        <v>23</v>
      </c>
      <c r="I32" s="15" t="s">
        <v>334</v>
      </c>
      <c r="J32" s="2">
        <v>202412</v>
      </c>
      <c r="K32" s="2" t="s">
        <v>37</v>
      </c>
      <c r="L32" s="2" t="s">
        <v>56</v>
      </c>
      <c r="M32" s="2" t="str">
        <f t="shared" si="0"/>
        <v>望园美国</v>
      </c>
      <c r="N32" s="2" t="str">
        <f t="shared" si="1"/>
        <v>费用报销单</v>
      </c>
      <c r="O32" s="2" t="s">
        <v>26</v>
      </c>
      <c r="P32" s="2">
        <v>1064</v>
      </c>
      <c r="Q32" s="3" t="s">
        <v>134</v>
      </c>
    </row>
    <row r="33" spans="1:17" x14ac:dyDescent="0.25">
      <c r="A33" s="2">
        <v>32</v>
      </c>
      <c r="C33" s="3" t="str">
        <f>RIGHT(K33,(LEN(K33)-FIND("_",K33,1)))&amp;"_"&amp;COUNTIF($K$2:K33,K33)</f>
        <v>安诺_11</v>
      </c>
      <c r="D33" s="2" t="s">
        <v>135</v>
      </c>
      <c r="E33" s="2" t="s">
        <v>136</v>
      </c>
      <c r="F33" s="2" t="s">
        <v>137</v>
      </c>
      <c r="G33" s="2" t="str">
        <f>VLOOKUP(D33,data!A:B,2,0)</f>
        <v>已审核</v>
      </c>
      <c r="H33" s="7" t="s">
        <v>23</v>
      </c>
      <c r="I33" s="15" t="s">
        <v>334</v>
      </c>
      <c r="J33" s="2">
        <v>202412</v>
      </c>
      <c r="K33" s="2" t="s">
        <v>37</v>
      </c>
      <c r="L33" s="2" t="s">
        <v>56</v>
      </c>
      <c r="M33" s="2" t="str">
        <f t="shared" si="0"/>
        <v>望园美国</v>
      </c>
      <c r="N33" s="2" t="str">
        <f t="shared" si="1"/>
        <v>费用应付单</v>
      </c>
      <c r="O33" s="2" t="s">
        <v>26</v>
      </c>
      <c r="P33" s="2">
        <v>1332.47</v>
      </c>
      <c r="Q33" s="3" t="s">
        <v>138</v>
      </c>
    </row>
    <row r="34" spans="1:17" x14ac:dyDescent="0.25">
      <c r="A34" s="2">
        <v>33</v>
      </c>
      <c r="C34" s="3" t="str">
        <f>RIGHT(K34,(LEN(K34)-FIND("_",K34,1)))&amp;"_"&amp;COUNTIF($K$2:K34,K34)</f>
        <v>恒广达_3</v>
      </c>
      <c r="D34" s="2" t="s">
        <v>139</v>
      </c>
      <c r="E34" s="2" t="s">
        <v>140</v>
      </c>
      <c r="F34" s="2" t="s">
        <v>141</v>
      </c>
      <c r="G34" s="2" t="str">
        <f>VLOOKUP(D34,data!A:B,2,0)</f>
        <v>已审核</v>
      </c>
      <c r="H34" s="7" t="s">
        <v>23</v>
      </c>
      <c r="I34" s="15" t="s">
        <v>334</v>
      </c>
      <c r="J34" s="2">
        <v>202412</v>
      </c>
      <c r="K34" s="2" t="s">
        <v>75</v>
      </c>
      <c r="L34" s="2" t="s">
        <v>56</v>
      </c>
      <c r="M34" s="2" t="str">
        <f t="shared" ref="M34:M65" si="2">IF(L34="欧洲","望园香港","望园美国")</f>
        <v>望园美国</v>
      </c>
      <c r="N34" s="2" t="str">
        <f t="shared" ref="N34:N65" si="3">IF(LEFT(D34,2)="FY","费用报销单","费用应付单")</f>
        <v>费用报销单</v>
      </c>
      <c r="O34" s="2" t="s">
        <v>26</v>
      </c>
      <c r="P34" s="2">
        <v>5706.4</v>
      </c>
      <c r="Q34" s="3" t="s">
        <v>142</v>
      </c>
    </row>
    <row r="35" spans="1:17" x14ac:dyDescent="0.25">
      <c r="A35" s="2">
        <v>34</v>
      </c>
      <c r="C35" s="3" t="str">
        <f>RIGHT(K35,(LEN(K35)-FIND("_",K35,1)))&amp;"_"&amp;COUNTIF($K$2:K35,K35)</f>
        <v>安诺_12</v>
      </c>
      <c r="D35" s="2" t="s">
        <v>143</v>
      </c>
      <c r="E35" s="2" t="s">
        <v>144</v>
      </c>
      <c r="F35" s="2" t="s">
        <v>145</v>
      </c>
      <c r="G35" s="2" t="str">
        <f>VLOOKUP(D35,data!A:B,2,0)</f>
        <v>已审核</v>
      </c>
      <c r="H35" s="7" t="s">
        <v>23</v>
      </c>
      <c r="I35" s="15" t="s">
        <v>334</v>
      </c>
      <c r="J35" s="2">
        <v>202412</v>
      </c>
      <c r="K35" s="2" t="s">
        <v>37</v>
      </c>
      <c r="L35" s="2" t="s">
        <v>56</v>
      </c>
      <c r="M35" s="2" t="str">
        <f t="shared" si="2"/>
        <v>望园美国</v>
      </c>
      <c r="N35" s="2" t="str">
        <f t="shared" si="3"/>
        <v>费用报销单</v>
      </c>
      <c r="O35" s="2" t="s">
        <v>26</v>
      </c>
      <c r="P35" s="2">
        <v>1493.46</v>
      </c>
      <c r="Q35" s="3" t="s">
        <v>146</v>
      </c>
    </row>
    <row r="36" spans="1:17" x14ac:dyDescent="0.25">
      <c r="A36" s="2">
        <v>35</v>
      </c>
      <c r="C36" s="3" t="str">
        <f>RIGHT(K36,(LEN(K36)-FIND("_",K36,1)))&amp;"_"&amp;COUNTIF($K$2:K36,K36)</f>
        <v>恒广达_4</v>
      </c>
      <c r="D36" s="2" t="s">
        <v>147</v>
      </c>
      <c r="E36" s="2" t="s">
        <v>148</v>
      </c>
      <c r="F36" s="2" t="s">
        <v>149</v>
      </c>
      <c r="G36" s="2" t="str">
        <f>VLOOKUP(D36,data!A:B,2,0)</f>
        <v>已审核</v>
      </c>
      <c r="H36" s="7" t="s">
        <v>23</v>
      </c>
      <c r="I36" s="15" t="s">
        <v>334</v>
      </c>
      <c r="J36" s="2">
        <v>202501</v>
      </c>
      <c r="K36" s="2" t="s">
        <v>75</v>
      </c>
      <c r="L36" s="2" t="s">
        <v>56</v>
      </c>
      <c r="M36" s="2" t="str">
        <f t="shared" si="2"/>
        <v>望园美国</v>
      </c>
      <c r="N36" s="2" t="str">
        <f t="shared" si="3"/>
        <v>费用报销单</v>
      </c>
      <c r="O36" s="2" t="s">
        <v>26</v>
      </c>
      <c r="P36" s="2">
        <v>5778.49</v>
      </c>
      <c r="Q36" s="3" t="s">
        <v>150</v>
      </c>
    </row>
    <row r="37" spans="1:17" x14ac:dyDescent="0.25">
      <c r="A37" s="2">
        <v>36</v>
      </c>
      <c r="C37" s="3" t="str">
        <f>RIGHT(K37,(LEN(K37)-FIND("_",K37,1)))&amp;"_"&amp;COUNTIF($K$2:K37,K37)</f>
        <v>恺达_6</v>
      </c>
      <c r="D37" s="2" t="s">
        <v>151</v>
      </c>
      <c r="E37" s="2" t="s">
        <v>152</v>
      </c>
      <c r="F37" s="2" t="s">
        <v>153</v>
      </c>
      <c r="G37" s="2" t="str">
        <f>VLOOKUP(D37,data!A:B,2,0)</f>
        <v>已审核</v>
      </c>
      <c r="H37" s="7" t="s">
        <v>23</v>
      </c>
      <c r="I37" s="15" t="s">
        <v>334</v>
      </c>
      <c r="J37" s="2">
        <v>202412</v>
      </c>
      <c r="K37" s="2" t="s">
        <v>79</v>
      </c>
      <c r="L37" s="2" t="s">
        <v>56</v>
      </c>
      <c r="M37" s="2" t="str">
        <f t="shared" si="2"/>
        <v>望园美国</v>
      </c>
      <c r="N37" s="2" t="str">
        <f t="shared" si="3"/>
        <v>费用应付单</v>
      </c>
      <c r="O37" s="2" t="s">
        <v>26</v>
      </c>
      <c r="P37" s="2">
        <v>3628.8</v>
      </c>
      <c r="Q37" s="3" t="s">
        <v>154</v>
      </c>
    </row>
    <row r="38" spans="1:17" x14ac:dyDescent="0.25">
      <c r="A38" s="2">
        <v>37</v>
      </c>
      <c r="C38" s="3" t="str">
        <f>RIGHT(K38,(LEN(K38)-FIND("_",K38,1)))&amp;"_"&amp;COUNTIF($K$2:K38,K38)</f>
        <v>恒广达_5</v>
      </c>
      <c r="D38" s="2" t="s">
        <v>155</v>
      </c>
      <c r="E38" s="2" t="s">
        <v>156</v>
      </c>
      <c r="F38" s="2" t="s">
        <v>157</v>
      </c>
      <c r="G38" s="2" t="str">
        <f>VLOOKUP(D38,data!A:B,2,0)</f>
        <v>已审核</v>
      </c>
      <c r="H38" s="7" t="s">
        <v>23</v>
      </c>
      <c r="I38" s="15" t="s">
        <v>334</v>
      </c>
      <c r="J38" s="2">
        <v>202501</v>
      </c>
      <c r="K38" s="2" t="s">
        <v>75</v>
      </c>
      <c r="L38" s="2" t="s">
        <v>56</v>
      </c>
      <c r="M38" s="2" t="str">
        <f t="shared" si="2"/>
        <v>望园美国</v>
      </c>
      <c r="N38" s="2" t="str">
        <f t="shared" si="3"/>
        <v>费用报销单</v>
      </c>
      <c r="O38" s="2" t="s">
        <v>26</v>
      </c>
      <c r="P38" s="2">
        <v>40997.26</v>
      </c>
      <c r="Q38" s="3" t="s">
        <v>158</v>
      </c>
    </row>
    <row r="39" spans="1:17" x14ac:dyDescent="0.25">
      <c r="A39" s="2">
        <v>38</v>
      </c>
      <c r="C39" s="3" t="str">
        <f>RIGHT(K39,(LEN(K39)-FIND("_",K39,1)))&amp;"_"&amp;COUNTIF($K$2:K39,K39)</f>
        <v>安诺_13</v>
      </c>
      <c r="D39" s="2" t="s">
        <v>159</v>
      </c>
      <c r="E39" s="2" t="s">
        <v>160</v>
      </c>
      <c r="F39" s="2" t="s">
        <v>161</v>
      </c>
      <c r="G39" s="2" t="str">
        <f>VLOOKUP(D39,data!A:B,2,0)</f>
        <v>已审核</v>
      </c>
      <c r="H39" s="7" t="s">
        <v>23</v>
      </c>
      <c r="I39" s="15" t="s">
        <v>334</v>
      </c>
      <c r="J39" s="2">
        <v>202412</v>
      </c>
      <c r="K39" s="2" t="s">
        <v>37</v>
      </c>
      <c r="L39" s="2" t="s">
        <v>25</v>
      </c>
      <c r="M39" s="2" t="str">
        <f t="shared" si="2"/>
        <v>望园香港</v>
      </c>
      <c r="N39" s="2" t="str">
        <f t="shared" si="3"/>
        <v>费用报销单</v>
      </c>
      <c r="O39" s="2" t="s">
        <v>26</v>
      </c>
      <c r="P39" s="2">
        <v>2953.62</v>
      </c>
      <c r="Q39" s="3" t="s">
        <v>162</v>
      </c>
    </row>
    <row r="40" spans="1:17" x14ac:dyDescent="0.25">
      <c r="A40" s="2">
        <v>39</v>
      </c>
      <c r="C40" s="3" t="str">
        <f>RIGHT(K40,(LEN(K40)-FIND("_",K40,1)))&amp;"_"&amp;COUNTIF($K$2:K40,K40)</f>
        <v>安诺_14</v>
      </c>
      <c r="D40" s="2" t="s">
        <v>163</v>
      </c>
      <c r="E40" s="2" t="s">
        <v>164</v>
      </c>
      <c r="F40" s="2" t="s">
        <v>165</v>
      </c>
      <c r="G40" s="2" t="str">
        <f>VLOOKUP(D40,data!A:B,2,0)</f>
        <v>已审核</v>
      </c>
      <c r="H40" s="7" t="s">
        <v>23</v>
      </c>
      <c r="I40" s="15" t="s">
        <v>334</v>
      </c>
      <c r="J40" s="2">
        <v>202412</v>
      </c>
      <c r="K40" s="2" t="s">
        <v>37</v>
      </c>
      <c r="L40" s="2" t="s">
        <v>56</v>
      </c>
      <c r="M40" s="2" t="str">
        <f t="shared" si="2"/>
        <v>望园美国</v>
      </c>
      <c r="N40" s="2" t="str">
        <f t="shared" si="3"/>
        <v>费用报销单</v>
      </c>
      <c r="O40" s="2" t="s">
        <v>26</v>
      </c>
      <c r="P40" s="2">
        <v>19353.099999999999</v>
      </c>
      <c r="Q40" s="3" t="s">
        <v>166</v>
      </c>
    </row>
    <row r="41" spans="1:17" x14ac:dyDescent="0.25">
      <c r="A41" s="2">
        <v>40</v>
      </c>
      <c r="C41" s="3" t="str">
        <f>RIGHT(K41,(LEN(K41)-FIND("_",K41,1)))&amp;"_"&amp;COUNTIF($K$2:K41,K41)</f>
        <v>安诺_15</v>
      </c>
      <c r="D41" s="2" t="s">
        <v>167</v>
      </c>
      <c r="E41" s="2" t="s">
        <v>168</v>
      </c>
      <c r="F41" s="2" t="s">
        <v>169</v>
      </c>
      <c r="G41" s="2" t="str">
        <f>VLOOKUP(D41,data!A:B,2,0)</f>
        <v>已审核</v>
      </c>
      <c r="H41" s="7" t="s">
        <v>23</v>
      </c>
      <c r="I41" s="15" t="s">
        <v>334</v>
      </c>
      <c r="J41" s="2">
        <v>202501</v>
      </c>
      <c r="K41" s="2" t="s">
        <v>37</v>
      </c>
      <c r="L41" s="2" t="s">
        <v>56</v>
      </c>
      <c r="M41" s="2" t="str">
        <f t="shared" si="2"/>
        <v>望园美国</v>
      </c>
      <c r="N41" s="2" t="str">
        <f t="shared" si="3"/>
        <v>费用报销单</v>
      </c>
      <c r="O41" s="2" t="s">
        <v>26</v>
      </c>
      <c r="P41" s="2">
        <v>1054</v>
      </c>
      <c r="Q41" s="3" t="s">
        <v>170</v>
      </c>
    </row>
    <row r="42" spans="1:17" x14ac:dyDescent="0.25">
      <c r="A42" s="2">
        <v>41</v>
      </c>
      <c r="C42" s="3" t="str">
        <f>RIGHT(K42,(LEN(K42)-FIND("_",K42,1)))&amp;"_"&amp;COUNTIF($K$2:K42,K42)</f>
        <v>安诺_16</v>
      </c>
      <c r="D42" s="2" t="s">
        <v>171</v>
      </c>
      <c r="E42" s="2" t="s">
        <v>172</v>
      </c>
      <c r="F42" s="2" t="s">
        <v>173</v>
      </c>
      <c r="G42" s="2" t="str">
        <f>VLOOKUP(D42,data!A:B,2,0)</f>
        <v>已审核</v>
      </c>
      <c r="H42" s="7" t="s">
        <v>23</v>
      </c>
      <c r="I42" s="15" t="s">
        <v>334</v>
      </c>
      <c r="J42" s="2">
        <v>202501</v>
      </c>
      <c r="K42" s="2" t="s">
        <v>37</v>
      </c>
      <c r="L42" s="2" t="s">
        <v>56</v>
      </c>
      <c r="M42" s="2" t="str">
        <f t="shared" si="2"/>
        <v>望园美国</v>
      </c>
      <c r="N42" s="2" t="str">
        <f t="shared" si="3"/>
        <v>费用报销单</v>
      </c>
      <c r="O42" s="2" t="s">
        <v>26</v>
      </c>
      <c r="P42" s="2">
        <v>2950.26</v>
      </c>
      <c r="Q42" s="3" t="s">
        <v>174</v>
      </c>
    </row>
    <row r="43" spans="1:17" x14ac:dyDescent="0.25">
      <c r="A43" s="2">
        <v>42</v>
      </c>
      <c r="C43" s="3" t="str">
        <f>RIGHT(K43,(LEN(K43)-FIND("_",K43,1)))&amp;"_"&amp;COUNTIF($K$2:K43,K43)</f>
        <v>安诺_17</v>
      </c>
      <c r="D43" s="2" t="s">
        <v>175</v>
      </c>
      <c r="E43" s="2" t="s">
        <v>176</v>
      </c>
      <c r="F43" s="2" t="s">
        <v>177</v>
      </c>
      <c r="G43" s="2" t="str">
        <f>VLOOKUP(D43,data!A:B,2,0)</f>
        <v>已审核</v>
      </c>
      <c r="H43" s="7" t="s">
        <v>23</v>
      </c>
      <c r="I43" s="15" t="s">
        <v>334</v>
      </c>
      <c r="J43" s="2">
        <v>202501</v>
      </c>
      <c r="K43" s="2" t="s">
        <v>37</v>
      </c>
      <c r="L43" s="2" t="s">
        <v>56</v>
      </c>
      <c r="M43" s="2" t="str">
        <f t="shared" si="2"/>
        <v>望园美国</v>
      </c>
      <c r="N43" s="2" t="str">
        <f t="shared" si="3"/>
        <v>费用报销单</v>
      </c>
      <c r="O43" s="2" t="s">
        <v>26</v>
      </c>
      <c r="P43" s="2">
        <v>1875.51</v>
      </c>
      <c r="Q43" s="3" t="s">
        <v>178</v>
      </c>
    </row>
    <row r="44" spans="1:17" x14ac:dyDescent="0.25">
      <c r="A44" s="2">
        <v>43</v>
      </c>
      <c r="C44" s="3" t="str">
        <f>RIGHT(K44,(LEN(K44)-FIND("_",K44,1)))&amp;"_"&amp;COUNTIF($K$2:K44,K44)</f>
        <v>安诺_18</v>
      </c>
      <c r="D44" s="2" t="s">
        <v>179</v>
      </c>
      <c r="E44" s="2" t="s">
        <v>180</v>
      </c>
      <c r="F44" s="2" t="s">
        <v>181</v>
      </c>
      <c r="G44" s="2" t="str">
        <f>VLOOKUP(D44,data!A:B,2,0)</f>
        <v>已审核</v>
      </c>
      <c r="H44" s="7" t="s">
        <v>23</v>
      </c>
      <c r="I44" s="15" t="s">
        <v>334</v>
      </c>
      <c r="J44" s="2">
        <v>202501</v>
      </c>
      <c r="K44" s="2" t="s">
        <v>37</v>
      </c>
      <c r="L44" s="2" t="s">
        <v>25</v>
      </c>
      <c r="M44" s="2" t="str">
        <f t="shared" si="2"/>
        <v>望园香港</v>
      </c>
      <c r="N44" s="2" t="str">
        <f t="shared" si="3"/>
        <v>费用报销单</v>
      </c>
      <c r="O44" s="2" t="s">
        <v>26</v>
      </c>
      <c r="P44" s="2">
        <v>2733.2</v>
      </c>
      <c r="Q44" s="3" t="s">
        <v>182</v>
      </c>
    </row>
    <row r="45" spans="1:17" x14ac:dyDescent="0.25">
      <c r="A45" s="2">
        <v>44</v>
      </c>
      <c r="C45" s="3" t="str">
        <f>RIGHT(K45,(LEN(K45)-FIND("_",K45,1)))&amp;"_"&amp;COUNTIF($K$2:K45,K45)</f>
        <v>安诺_19</v>
      </c>
      <c r="D45" s="2" t="s">
        <v>183</v>
      </c>
      <c r="E45" s="2" t="s">
        <v>184</v>
      </c>
      <c r="F45" s="2" t="s">
        <v>185</v>
      </c>
      <c r="G45" s="2" t="str">
        <f>VLOOKUP(D45,data!A:B,2,0)</f>
        <v>已审核</v>
      </c>
      <c r="H45" s="7" t="s">
        <v>23</v>
      </c>
      <c r="I45" s="15" t="s">
        <v>334</v>
      </c>
      <c r="J45" s="2">
        <v>202501</v>
      </c>
      <c r="K45" s="2" t="s">
        <v>37</v>
      </c>
      <c r="L45" s="2" t="s">
        <v>56</v>
      </c>
      <c r="M45" s="2" t="str">
        <f t="shared" si="2"/>
        <v>望园美国</v>
      </c>
      <c r="N45" s="2" t="str">
        <f t="shared" si="3"/>
        <v>费用报销单</v>
      </c>
      <c r="O45" s="2" t="s">
        <v>26</v>
      </c>
      <c r="P45" s="2">
        <v>48.44</v>
      </c>
      <c r="Q45" s="3" t="s">
        <v>186</v>
      </c>
    </row>
    <row r="46" spans="1:17" x14ac:dyDescent="0.25">
      <c r="A46" s="2">
        <v>45</v>
      </c>
      <c r="C46" s="3" t="str">
        <f>RIGHT(K46,(LEN(K46)-FIND("_",K46,1)))&amp;"_"&amp;COUNTIF($K$2:K46,K46)</f>
        <v>盘古_2</v>
      </c>
      <c r="D46" s="2" t="s">
        <v>187</v>
      </c>
      <c r="E46" s="2" t="s">
        <v>188</v>
      </c>
      <c r="F46" s="2" t="s">
        <v>189</v>
      </c>
      <c r="G46" s="2" t="str">
        <f>VLOOKUP(D46,data!A:B,2,0)</f>
        <v>已审核</v>
      </c>
      <c r="H46" s="7" t="s">
        <v>23</v>
      </c>
      <c r="I46" s="15" t="s">
        <v>334</v>
      </c>
      <c r="J46" s="2">
        <v>202501</v>
      </c>
      <c r="K46" s="2" t="s">
        <v>114</v>
      </c>
      <c r="L46" s="2" t="s">
        <v>25</v>
      </c>
      <c r="M46" s="2" t="str">
        <f t="shared" si="2"/>
        <v>望园香港</v>
      </c>
      <c r="N46" s="2" t="str">
        <f t="shared" si="3"/>
        <v>费用报销单</v>
      </c>
      <c r="O46" s="2" t="s">
        <v>115</v>
      </c>
      <c r="P46" s="2">
        <v>1079.44</v>
      </c>
      <c r="Q46" s="3" t="s">
        <v>190</v>
      </c>
    </row>
    <row r="47" spans="1:17" x14ac:dyDescent="0.25">
      <c r="A47" s="2">
        <v>46</v>
      </c>
      <c r="C47" s="3" t="str">
        <f>RIGHT(K47,(LEN(K47)-FIND("_",K47,1)))&amp;"_"&amp;COUNTIF($K$2:K47,K47)</f>
        <v>恺达_7</v>
      </c>
      <c r="D47" s="2" t="s">
        <v>191</v>
      </c>
      <c r="E47" s="2" t="s">
        <v>192</v>
      </c>
      <c r="F47" s="2" t="s">
        <v>193</v>
      </c>
      <c r="G47" s="2" t="str">
        <f>VLOOKUP(D47,data!A:B,2,0)</f>
        <v>已审核</v>
      </c>
      <c r="H47" s="7" t="s">
        <v>23</v>
      </c>
      <c r="I47" s="15" t="s">
        <v>334</v>
      </c>
      <c r="J47" s="2">
        <v>202501</v>
      </c>
      <c r="K47" s="2" t="s">
        <v>79</v>
      </c>
      <c r="L47" s="2" t="s">
        <v>80</v>
      </c>
      <c r="M47" s="2" t="str">
        <f t="shared" si="2"/>
        <v>望园美国</v>
      </c>
      <c r="N47" s="2" t="str">
        <f t="shared" si="3"/>
        <v>费用报销单</v>
      </c>
      <c r="O47" s="2" t="s">
        <v>26</v>
      </c>
      <c r="P47" s="2">
        <v>1273.23</v>
      </c>
      <c r="Q47" s="3" t="s">
        <v>194</v>
      </c>
    </row>
    <row r="48" spans="1:17" x14ac:dyDescent="0.25">
      <c r="A48" s="2">
        <v>47</v>
      </c>
      <c r="C48" s="3" t="str">
        <f>RIGHT(K48,(LEN(K48)-FIND("_",K48,1)))&amp;"_"&amp;COUNTIF($K$2:K48,K48)</f>
        <v>恺达_8</v>
      </c>
      <c r="D48" s="2" t="s">
        <v>195</v>
      </c>
      <c r="E48" s="2" t="s">
        <v>196</v>
      </c>
      <c r="F48" s="2" t="s">
        <v>197</v>
      </c>
      <c r="G48" s="2" t="str">
        <f>VLOOKUP(D48,data!A:B,2,0)</f>
        <v>已审核</v>
      </c>
      <c r="H48" s="7" t="s">
        <v>23</v>
      </c>
      <c r="I48" s="15" t="s">
        <v>334</v>
      </c>
      <c r="J48" s="2">
        <v>202501</v>
      </c>
      <c r="K48" s="2" t="s">
        <v>79</v>
      </c>
      <c r="L48" s="2" t="s">
        <v>80</v>
      </c>
      <c r="M48" s="2" t="str">
        <f t="shared" si="2"/>
        <v>望园美国</v>
      </c>
      <c r="N48" s="2" t="str">
        <f t="shared" si="3"/>
        <v>费用应付单</v>
      </c>
      <c r="O48" s="2" t="s">
        <v>26</v>
      </c>
      <c r="P48" s="2">
        <v>5689.21</v>
      </c>
      <c r="Q48" s="3" t="s">
        <v>198</v>
      </c>
    </row>
    <row r="49" spans="1:17" x14ac:dyDescent="0.25">
      <c r="A49" s="2">
        <v>48</v>
      </c>
      <c r="C49" s="3" t="str">
        <f>RIGHT(K49,(LEN(K49)-FIND("_",K49,1)))&amp;"_"&amp;COUNTIF($K$2:K49,K49)</f>
        <v>安诺_20</v>
      </c>
      <c r="D49" s="2" t="s">
        <v>199</v>
      </c>
      <c r="E49" s="2" t="s">
        <v>200</v>
      </c>
      <c r="F49" s="2" t="s">
        <v>201</v>
      </c>
      <c r="G49" s="2" t="str">
        <f>VLOOKUP(D49,data!A:B,2,0)</f>
        <v>已审核</v>
      </c>
      <c r="H49" s="7" t="s">
        <v>23</v>
      </c>
      <c r="I49" s="15" t="s">
        <v>334</v>
      </c>
      <c r="J49" s="2">
        <v>202501</v>
      </c>
      <c r="K49" s="2" t="s">
        <v>37</v>
      </c>
      <c r="L49" s="2" t="s">
        <v>56</v>
      </c>
      <c r="M49" s="2" t="str">
        <f t="shared" si="2"/>
        <v>望园美国</v>
      </c>
      <c r="N49" s="2" t="str">
        <f t="shared" si="3"/>
        <v>费用应付单</v>
      </c>
      <c r="O49" s="2" t="s">
        <v>26</v>
      </c>
      <c r="P49" s="2">
        <v>224</v>
      </c>
      <c r="Q49" s="3" t="s">
        <v>202</v>
      </c>
    </row>
    <row r="50" spans="1:17" x14ac:dyDescent="0.25">
      <c r="A50" s="2">
        <v>49</v>
      </c>
      <c r="C50" s="3" t="str">
        <f>RIGHT(K50,(LEN(K50)-FIND("_",K50,1)))&amp;"_"&amp;COUNTIF($K$2:K50,K50)</f>
        <v>安诺_21</v>
      </c>
      <c r="D50" s="2" t="s">
        <v>203</v>
      </c>
      <c r="E50" s="2" t="s">
        <v>204</v>
      </c>
      <c r="F50" s="2" t="s">
        <v>346</v>
      </c>
      <c r="G50" s="2" t="str">
        <f>VLOOKUP(D50,data!A:B,2,0)</f>
        <v>已审核</v>
      </c>
      <c r="H50" s="7" t="s">
        <v>23</v>
      </c>
      <c r="I50" s="15" t="s">
        <v>334</v>
      </c>
      <c r="J50" s="2">
        <v>202501</v>
      </c>
      <c r="K50" s="2" t="s">
        <v>37</v>
      </c>
      <c r="L50" s="2" t="s">
        <v>56</v>
      </c>
      <c r="M50" s="2" t="str">
        <f t="shared" si="2"/>
        <v>望园美国</v>
      </c>
      <c r="N50" s="2" t="str">
        <f t="shared" si="3"/>
        <v>费用报销单</v>
      </c>
      <c r="O50" s="2" t="s">
        <v>26</v>
      </c>
      <c r="P50" s="2">
        <v>23562.400000000001</v>
      </c>
      <c r="Q50" s="3" t="s">
        <v>206</v>
      </c>
    </row>
    <row r="51" spans="1:17" x14ac:dyDescent="0.25">
      <c r="A51" s="2">
        <v>50</v>
      </c>
      <c r="C51" s="3" t="str">
        <f>RIGHT(K51,(LEN(K51)-FIND("_",K51,1)))&amp;"_"&amp;COUNTIF($K$2:K51,K51)</f>
        <v>安捷利_13</v>
      </c>
      <c r="D51" s="2" t="s">
        <v>207</v>
      </c>
      <c r="E51" s="2" t="s">
        <v>208</v>
      </c>
      <c r="F51" s="2" t="s">
        <v>209</v>
      </c>
      <c r="G51" s="2" t="str">
        <f>VLOOKUP(D51,data!A:B,2,0)</f>
        <v>已审核</v>
      </c>
      <c r="H51" s="7" t="s">
        <v>23</v>
      </c>
      <c r="I51" s="15" t="s">
        <v>334</v>
      </c>
      <c r="J51" s="2">
        <v>202501</v>
      </c>
      <c r="K51" s="2" t="s">
        <v>24</v>
      </c>
      <c r="L51" s="2" t="s">
        <v>56</v>
      </c>
      <c r="M51" s="2" t="str">
        <f t="shared" si="2"/>
        <v>望园美国</v>
      </c>
      <c r="N51" s="2" t="str">
        <f t="shared" si="3"/>
        <v>费用报销单</v>
      </c>
      <c r="O51" s="2" t="s">
        <v>26</v>
      </c>
      <c r="P51" s="2">
        <v>60.78</v>
      </c>
      <c r="Q51" s="3" t="s">
        <v>210</v>
      </c>
    </row>
    <row r="52" spans="1:17" x14ac:dyDescent="0.25">
      <c r="A52" s="2">
        <v>51</v>
      </c>
      <c r="C52" s="3" t="str">
        <f>RIGHT(K52,(LEN(K52)-FIND("_",K52,1)))&amp;"_"&amp;COUNTIF($K$2:K52,K52)</f>
        <v>安捷利_14</v>
      </c>
      <c r="D52" s="2" t="s">
        <v>211</v>
      </c>
      <c r="E52" s="2" t="s">
        <v>212</v>
      </c>
      <c r="F52" s="2" t="s">
        <v>213</v>
      </c>
      <c r="G52" s="2" t="str">
        <f>VLOOKUP(D52,data!A:B,2,0)</f>
        <v>已审核</v>
      </c>
      <c r="H52" s="7" t="s">
        <v>23</v>
      </c>
      <c r="I52" s="15" t="s">
        <v>334</v>
      </c>
      <c r="J52" s="2">
        <v>202412</v>
      </c>
      <c r="K52" s="2" t="s">
        <v>24</v>
      </c>
      <c r="L52" s="2" t="s">
        <v>56</v>
      </c>
      <c r="M52" s="2" t="str">
        <f t="shared" si="2"/>
        <v>望园美国</v>
      </c>
      <c r="N52" s="2" t="str">
        <f t="shared" si="3"/>
        <v>费用报销单</v>
      </c>
      <c r="O52" s="2" t="s">
        <v>26</v>
      </c>
      <c r="P52" s="2">
        <v>3740.16</v>
      </c>
      <c r="Q52" s="3" t="s">
        <v>214</v>
      </c>
    </row>
    <row r="53" spans="1:17" x14ac:dyDescent="0.25">
      <c r="A53" s="2">
        <v>52</v>
      </c>
      <c r="C53" s="3" t="str">
        <f>RIGHT(K53,(LEN(K53)-FIND("_",K53,1)))&amp;"_"&amp;COUNTIF($K$2:K53,K53)</f>
        <v>安捷利_15</v>
      </c>
      <c r="D53" s="2" t="s">
        <v>215</v>
      </c>
      <c r="E53" s="2" t="s">
        <v>216</v>
      </c>
      <c r="F53" s="2" t="s">
        <v>341</v>
      </c>
      <c r="G53" s="2" t="str">
        <f>VLOOKUP(D53,data!A:B,2,0)</f>
        <v>已审核</v>
      </c>
      <c r="H53" s="7" t="s">
        <v>23</v>
      </c>
      <c r="I53" s="15" t="s">
        <v>334</v>
      </c>
      <c r="J53" s="2">
        <v>202501</v>
      </c>
      <c r="K53" s="2" t="s">
        <v>24</v>
      </c>
      <c r="L53" s="2" t="s">
        <v>56</v>
      </c>
      <c r="M53" s="2" t="str">
        <f t="shared" si="2"/>
        <v>望园美国</v>
      </c>
      <c r="N53" s="2" t="str">
        <f t="shared" si="3"/>
        <v>费用报销单</v>
      </c>
      <c r="O53" s="2" t="s">
        <v>26</v>
      </c>
      <c r="P53" s="2">
        <v>13641</v>
      </c>
      <c r="Q53" s="3" t="s">
        <v>217</v>
      </c>
    </row>
    <row r="54" spans="1:17" x14ac:dyDescent="0.25">
      <c r="A54" s="2">
        <v>53</v>
      </c>
      <c r="C54" s="3" t="str">
        <f>RIGHT(K54,(LEN(K54)-FIND("_",K54,1)))&amp;"_"&amp;COUNTIF($K$2:K54,K54)</f>
        <v>安捷利_16</v>
      </c>
      <c r="D54" s="2" t="s">
        <v>218</v>
      </c>
      <c r="E54" s="2" t="s">
        <v>219</v>
      </c>
      <c r="F54" s="2" t="s">
        <v>220</v>
      </c>
      <c r="G54" s="2" t="str">
        <f>VLOOKUP(D54,data!A:B,2,0)</f>
        <v>已审核</v>
      </c>
      <c r="H54" s="7" t="s">
        <v>23</v>
      </c>
      <c r="I54" s="15" t="s">
        <v>334</v>
      </c>
      <c r="J54" s="2">
        <v>202412</v>
      </c>
      <c r="K54" s="2" t="s">
        <v>24</v>
      </c>
      <c r="L54" s="2" t="s">
        <v>56</v>
      </c>
      <c r="M54" s="2" t="str">
        <f t="shared" si="2"/>
        <v>望园美国</v>
      </c>
      <c r="N54" s="2" t="str">
        <f t="shared" si="3"/>
        <v>费用报销单</v>
      </c>
      <c r="O54" s="2" t="s">
        <v>26</v>
      </c>
      <c r="P54" s="2">
        <v>14370</v>
      </c>
      <c r="Q54" s="3" t="s">
        <v>221</v>
      </c>
    </row>
    <row r="55" spans="1:17" x14ac:dyDescent="0.25">
      <c r="A55" s="2">
        <v>54</v>
      </c>
      <c r="C55" s="3" t="str">
        <f>RIGHT(K55,(LEN(K55)-FIND("_",K55,1)))&amp;"_"&amp;COUNTIF($K$2:K55,K55)</f>
        <v>安捷利_17</v>
      </c>
      <c r="D55" s="2" t="s">
        <v>222</v>
      </c>
      <c r="G55" s="2" t="str">
        <f>VLOOKUP(D55,data!A:B,2,0)</f>
        <v>孙越</v>
      </c>
      <c r="H55" s="2" t="s">
        <v>268</v>
      </c>
      <c r="I55" s="15">
        <f ca="1">NOW()-VLOOKUP(D55,data!A:D,4,0)</f>
        <v>0.32867708332923939</v>
      </c>
      <c r="J55" s="2">
        <v>202501</v>
      </c>
      <c r="K55" s="2" t="s">
        <v>24</v>
      </c>
      <c r="L55" s="2" t="s">
        <v>56</v>
      </c>
      <c r="M55" s="2" t="str">
        <f t="shared" si="2"/>
        <v>望园美国</v>
      </c>
      <c r="N55" s="2" t="str">
        <f t="shared" si="3"/>
        <v>费用应付单</v>
      </c>
      <c r="O55" s="2" t="s">
        <v>26</v>
      </c>
      <c r="P55" s="2">
        <v>778.75</v>
      </c>
      <c r="Q55" s="3" t="s">
        <v>223</v>
      </c>
    </row>
    <row r="56" spans="1:17" x14ac:dyDescent="0.25">
      <c r="A56" s="2">
        <v>55</v>
      </c>
      <c r="C56" s="3" t="str">
        <f>RIGHT(K56,(LEN(K56)-FIND("_",K56,1)))&amp;"_"&amp;COUNTIF($K$2:K56,K56)</f>
        <v>安捷利_18</v>
      </c>
      <c r="D56" s="2" t="s">
        <v>224</v>
      </c>
      <c r="G56" s="2" t="str">
        <f>VLOOKUP(D56,data!A:B,2,0)</f>
        <v>孙越</v>
      </c>
      <c r="H56" s="2" t="s">
        <v>268</v>
      </c>
      <c r="I56" s="15">
        <f ca="1">NOW()-VLOOKUP(D56,data!A:D,4,0)</f>
        <v>0.32895486110646743</v>
      </c>
      <c r="J56" s="2">
        <v>202412</v>
      </c>
      <c r="K56" s="2" t="s">
        <v>24</v>
      </c>
      <c r="L56" s="2" t="s">
        <v>56</v>
      </c>
      <c r="M56" s="2" t="str">
        <f t="shared" si="2"/>
        <v>望园美国</v>
      </c>
      <c r="N56" s="2" t="str">
        <f t="shared" si="3"/>
        <v>费用应付单</v>
      </c>
      <c r="O56" s="2" t="s">
        <v>26</v>
      </c>
      <c r="P56" s="2">
        <v>4036.59</v>
      </c>
      <c r="Q56" s="3" t="s">
        <v>225</v>
      </c>
    </row>
    <row r="57" spans="1:17" x14ac:dyDescent="0.25">
      <c r="A57" s="2">
        <v>56</v>
      </c>
      <c r="C57" s="3" t="str">
        <f>RIGHT(K57,(LEN(K57)-FIND("_",K57,1)))&amp;"_"&amp;COUNTIF($K$2:K57,K57)</f>
        <v>安捷利_19</v>
      </c>
      <c r="D57" s="2" t="s">
        <v>226</v>
      </c>
      <c r="E57" s="2" t="s">
        <v>227</v>
      </c>
      <c r="F57" s="2" t="s">
        <v>228</v>
      </c>
      <c r="G57" s="2" t="str">
        <f>VLOOKUP(D57,data!A:B,2,0)</f>
        <v>已审核</v>
      </c>
      <c r="H57" s="7" t="s">
        <v>23</v>
      </c>
      <c r="I57" s="15" t="s">
        <v>334</v>
      </c>
      <c r="J57" s="2">
        <v>202501</v>
      </c>
      <c r="K57" s="2" t="s">
        <v>24</v>
      </c>
      <c r="L57" s="2" t="s">
        <v>25</v>
      </c>
      <c r="M57" s="2" t="str">
        <f t="shared" si="2"/>
        <v>望园香港</v>
      </c>
      <c r="N57" s="2" t="str">
        <f t="shared" si="3"/>
        <v>费用报销单</v>
      </c>
      <c r="O57" s="2" t="s">
        <v>26</v>
      </c>
      <c r="P57" s="2">
        <v>8900.1</v>
      </c>
      <c r="Q57" s="3" t="s">
        <v>229</v>
      </c>
    </row>
    <row r="58" spans="1:17" x14ac:dyDescent="0.25">
      <c r="A58" s="2">
        <v>57</v>
      </c>
      <c r="C58" s="3" t="str">
        <f>RIGHT(K58,(LEN(K58)-FIND("_",K58,1)))&amp;"_"&amp;COUNTIF($K$2:K58,K58)</f>
        <v>安捷利_20</v>
      </c>
      <c r="D58" s="2" t="s">
        <v>230</v>
      </c>
      <c r="E58" s="2" t="s">
        <v>231</v>
      </c>
      <c r="F58" s="2" t="s">
        <v>232</v>
      </c>
      <c r="G58" s="2" t="str">
        <f>VLOOKUP(D58,data!A:B,2,0)</f>
        <v>已审核</v>
      </c>
      <c r="H58" s="7" t="s">
        <v>23</v>
      </c>
      <c r="I58" s="15" t="s">
        <v>334</v>
      </c>
      <c r="J58" s="2">
        <v>202412</v>
      </c>
      <c r="K58" s="2" t="s">
        <v>24</v>
      </c>
      <c r="L58" s="2" t="s">
        <v>25</v>
      </c>
      <c r="M58" s="2" t="str">
        <f t="shared" si="2"/>
        <v>望园香港</v>
      </c>
      <c r="N58" s="2" t="str">
        <f t="shared" si="3"/>
        <v>费用报销单</v>
      </c>
      <c r="O58" s="2" t="s">
        <v>26</v>
      </c>
      <c r="P58" s="2">
        <v>9309.3000000000029</v>
      </c>
      <c r="Q58" s="3" t="s">
        <v>233</v>
      </c>
    </row>
    <row r="59" spans="1:17" x14ac:dyDescent="0.25">
      <c r="A59" s="2">
        <v>58</v>
      </c>
      <c r="C59" s="3" t="str">
        <f>RIGHT(K59,(LEN(K59)-FIND("_",K59,1)))&amp;"_"&amp;COUNTIF($K$2:K59,K59)</f>
        <v>安捷利_21</v>
      </c>
      <c r="D59" s="2" t="s">
        <v>234</v>
      </c>
      <c r="E59" s="2" t="s">
        <v>235</v>
      </c>
      <c r="F59" s="2" t="s">
        <v>236</v>
      </c>
      <c r="G59" s="2" t="str">
        <f>VLOOKUP(D59,data!A:B,2,0)</f>
        <v>已审核</v>
      </c>
      <c r="H59" s="7" t="s">
        <v>23</v>
      </c>
      <c r="I59" s="15" t="s">
        <v>334</v>
      </c>
      <c r="J59" s="2">
        <v>202501</v>
      </c>
      <c r="K59" s="2" t="s">
        <v>24</v>
      </c>
      <c r="L59" s="2" t="s">
        <v>25</v>
      </c>
      <c r="M59" s="2" t="str">
        <f t="shared" si="2"/>
        <v>望园香港</v>
      </c>
      <c r="N59" s="2" t="str">
        <f t="shared" si="3"/>
        <v>费用报销单</v>
      </c>
      <c r="O59" s="2" t="s">
        <v>26</v>
      </c>
      <c r="P59" s="2">
        <v>669.13</v>
      </c>
      <c r="Q59" s="3" t="s">
        <v>237</v>
      </c>
    </row>
    <row r="60" spans="1:17" x14ac:dyDescent="0.25">
      <c r="A60" s="2">
        <v>59</v>
      </c>
      <c r="C60" s="3" t="str">
        <f>RIGHT(K60,(LEN(K60)-FIND("_",K60,1)))&amp;"_"&amp;COUNTIF($K$2:K60,K60)</f>
        <v>安捷利_22</v>
      </c>
      <c r="D60" s="2" t="s">
        <v>238</v>
      </c>
      <c r="E60" s="2" t="s">
        <v>239</v>
      </c>
      <c r="F60" s="2" t="s">
        <v>240</v>
      </c>
      <c r="G60" s="2" t="str">
        <f>VLOOKUP(D60,data!A:B,2,0)</f>
        <v>已审核</v>
      </c>
      <c r="H60" s="7" t="s">
        <v>23</v>
      </c>
      <c r="I60" s="15" t="s">
        <v>334</v>
      </c>
      <c r="J60" s="2">
        <v>202501</v>
      </c>
      <c r="K60" s="2" t="s">
        <v>24</v>
      </c>
      <c r="L60" s="2" t="s">
        <v>25</v>
      </c>
      <c r="M60" s="2" t="str">
        <f t="shared" si="2"/>
        <v>望园香港</v>
      </c>
      <c r="N60" s="2" t="str">
        <f t="shared" si="3"/>
        <v>费用报销单</v>
      </c>
      <c r="O60" s="2" t="s">
        <v>26</v>
      </c>
      <c r="P60" s="2">
        <v>1277.0999999999999</v>
      </c>
      <c r="Q60" s="3" t="s">
        <v>241</v>
      </c>
    </row>
    <row r="61" spans="1:17" x14ac:dyDescent="0.25">
      <c r="A61" s="2">
        <v>60</v>
      </c>
      <c r="C61" s="3" t="str">
        <f>RIGHT(K61,(LEN(K61)-FIND("_",K61,1)))&amp;"_"&amp;COUNTIF($K$2:K61,K61)</f>
        <v>恺达_9</v>
      </c>
      <c r="D61" s="2" t="s">
        <v>242</v>
      </c>
      <c r="E61" s="2" t="s">
        <v>243</v>
      </c>
      <c r="F61" s="2" t="s">
        <v>244</v>
      </c>
      <c r="G61" s="2" t="str">
        <f>VLOOKUP(D61,data!A:B,2,0)</f>
        <v>已审核</v>
      </c>
      <c r="H61" s="7" t="s">
        <v>23</v>
      </c>
      <c r="I61" s="15" t="s">
        <v>334</v>
      </c>
      <c r="J61" s="2">
        <v>202502</v>
      </c>
      <c r="K61" s="2" t="s">
        <v>79</v>
      </c>
      <c r="L61" s="2" t="s">
        <v>56</v>
      </c>
      <c r="M61" s="2" t="str">
        <f t="shared" si="2"/>
        <v>望园美国</v>
      </c>
      <c r="N61" s="2" t="str">
        <f t="shared" si="3"/>
        <v>费用报销单</v>
      </c>
      <c r="O61" s="2" t="s">
        <v>26</v>
      </c>
      <c r="P61" s="2">
        <v>608.41999999999996</v>
      </c>
      <c r="Q61" s="3" t="s">
        <v>245</v>
      </c>
    </row>
    <row r="62" spans="1:17" x14ac:dyDescent="0.25">
      <c r="A62" s="2">
        <v>61</v>
      </c>
      <c r="C62" s="3" t="str">
        <f>RIGHT(K62,(LEN(K62)-FIND("_",K62,1)))&amp;"_"&amp;COUNTIF($K$2:K62,K62)</f>
        <v>恺达_10</v>
      </c>
      <c r="D62" s="2" t="s">
        <v>246</v>
      </c>
      <c r="E62" s="2" t="s">
        <v>247</v>
      </c>
      <c r="F62" s="2" t="s">
        <v>350</v>
      </c>
      <c r="G62" s="2" t="str">
        <f>VLOOKUP(D62,data!A:B,2,0)</f>
        <v>已审核</v>
      </c>
      <c r="H62" s="7" t="s">
        <v>23</v>
      </c>
      <c r="I62" s="15" t="s">
        <v>334</v>
      </c>
      <c r="J62" s="2">
        <v>202502</v>
      </c>
      <c r="K62" s="2" t="s">
        <v>79</v>
      </c>
      <c r="L62" s="2" t="s">
        <v>56</v>
      </c>
      <c r="M62" s="2" t="str">
        <f t="shared" si="2"/>
        <v>望园美国</v>
      </c>
      <c r="N62" s="2" t="str">
        <f t="shared" si="3"/>
        <v>费用报销单</v>
      </c>
      <c r="O62" s="2" t="s">
        <v>26</v>
      </c>
      <c r="P62" s="2">
        <v>2084.7600000000002</v>
      </c>
      <c r="Q62" s="3" t="s">
        <v>248</v>
      </c>
    </row>
    <row r="63" spans="1:17" x14ac:dyDescent="0.25">
      <c r="A63" s="2">
        <v>62</v>
      </c>
      <c r="C63" s="3" t="str">
        <f>RIGHT(K63,(LEN(K63)-FIND("_",K63,1)))&amp;"_"&amp;COUNTIF($K$2:K63,K63)</f>
        <v>恺达_11</v>
      </c>
      <c r="D63" s="2" t="s">
        <v>249</v>
      </c>
      <c r="E63" s="2" t="s">
        <v>250</v>
      </c>
      <c r="F63" s="2" t="s">
        <v>340</v>
      </c>
      <c r="G63" s="2" t="str">
        <f>VLOOKUP(D63,data!A:B,2,0)</f>
        <v>已审核</v>
      </c>
      <c r="H63" s="7" t="s">
        <v>23</v>
      </c>
      <c r="I63" s="15" t="s">
        <v>334</v>
      </c>
      <c r="J63" s="2">
        <v>202502</v>
      </c>
      <c r="K63" s="2" t="s">
        <v>79</v>
      </c>
      <c r="L63" s="2" t="s">
        <v>25</v>
      </c>
      <c r="M63" s="2" t="str">
        <f t="shared" si="2"/>
        <v>望园香港</v>
      </c>
      <c r="N63" s="2" t="str">
        <f t="shared" si="3"/>
        <v>费用报销单</v>
      </c>
      <c r="O63" s="2" t="s">
        <v>26</v>
      </c>
      <c r="P63" s="2">
        <v>539.76</v>
      </c>
      <c r="Q63" s="3" t="s">
        <v>251</v>
      </c>
    </row>
    <row r="64" spans="1:17" x14ac:dyDescent="0.25">
      <c r="A64" s="2">
        <v>63</v>
      </c>
      <c r="C64" s="3" t="str">
        <f>RIGHT(K64,(LEN(K64)-FIND("_",K64,1)))&amp;"_"&amp;COUNTIF($K$2:K64,K64)</f>
        <v>美通_2</v>
      </c>
      <c r="D64" s="2" t="s">
        <v>252</v>
      </c>
      <c r="E64" s="2" t="s">
        <v>253</v>
      </c>
      <c r="G64" s="2" t="str">
        <f>VLOOKUP(D64,data!A:B,2,0)</f>
        <v>已审核</v>
      </c>
      <c r="H64" s="14" t="s">
        <v>205</v>
      </c>
      <c r="I64" s="15" t="s">
        <v>334</v>
      </c>
      <c r="J64" s="2">
        <v>202411</v>
      </c>
      <c r="K64" s="2" t="s">
        <v>111</v>
      </c>
      <c r="L64" s="2" t="s">
        <v>25</v>
      </c>
      <c r="M64" s="2" t="str">
        <f t="shared" si="2"/>
        <v>望园香港</v>
      </c>
      <c r="N64" s="2" t="str">
        <f t="shared" si="3"/>
        <v>费用应付单</v>
      </c>
      <c r="O64" s="2" t="s">
        <v>26</v>
      </c>
      <c r="P64" s="2">
        <v>10877.9</v>
      </c>
      <c r="Q64" s="3" t="s">
        <v>254</v>
      </c>
    </row>
    <row r="65" spans="1:17" x14ac:dyDescent="0.25">
      <c r="A65" s="2">
        <v>64</v>
      </c>
      <c r="C65" s="3" t="str">
        <f>RIGHT(K65,(LEN(K65)-FIND("_",K65,1)))&amp;"_"&amp;COUNTIF($K$2:K65,K65)</f>
        <v>恒广达_6</v>
      </c>
      <c r="D65" s="2" t="s">
        <v>255</v>
      </c>
      <c r="E65" s="2" t="s">
        <v>256</v>
      </c>
      <c r="F65" s="2" t="s">
        <v>257</v>
      </c>
      <c r="G65" s="2" t="str">
        <f>VLOOKUP(D65,data!A:B,2,0)</f>
        <v>已审核</v>
      </c>
      <c r="H65" s="7" t="s">
        <v>23</v>
      </c>
      <c r="I65" s="15" t="s">
        <v>334</v>
      </c>
      <c r="J65" s="2">
        <v>202502</v>
      </c>
      <c r="K65" s="2" t="s">
        <v>75</v>
      </c>
      <c r="L65" s="2" t="s">
        <v>56</v>
      </c>
      <c r="M65" s="2" t="str">
        <f t="shared" si="2"/>
        <v>望园美国</v>
      </c>
      <c r="N65" s="2" t="str">
        <f t="shared" si="3"/>
        <v>费用报销单</v>
      </c>
      <c r="O65" s="2" t="s">
        <v>26</v>
      </c>
      <c r="P65" s="2">
        <v>6985.79</v>
      </c>
      <c r="Q65" s="3" t="s">
        <v>258</v>
      </c>
    </row>
    <row r="66" spans="1:17" x14ac:dyDescent="0.25">
      <c r="A66" s="2">
        <v>65</v>
      </c>
      <c r="C66" s="3" t="str">
        <f>RIGHT(K66,(LEN(K66)-FIND("_",K66,1)))&amp;"_"&amp;COUNTIF($K$2:K66,K66)</f>
        <v>恒广达_7</v>
      </c>
      <c r="D66" s="2" t="s">
        <v>259</v>
      </c>
      <c r="E66" s="2" t="s">
        <v>260</v>
      </c>
      <c r="F66" s="2" t="s">
        <v>261</v>
      </c>
      <c r="G66" s="2" t="str">
        <f>VLOOKUP(D66,data!A:B,2,0)</f>
        <v>已审核</v>
      </c>
      <c r="H66" s="7" t="s">
        <v>23</v>
      </c>
      <c r="I66" s="15" t="s">
        <v>334</v>
      </c>
      <c r="J66" s="2">
        <v>202502</v>
      </c>
      <c r="K66" s="2" t="s">
        <v>75</v>
      </c>
      <c r="L66" s="2" t="s">
        <v>56</v>
      </c>
      <c r="M66" s="2" t="str">
        <f t="shared" ref="M66:M87" si="4">IF(L66="欧洲","望园香港","望园美国")</f>
        <v>望园美国</v>
      </c>
      <c r="N66" s="2" t="str">
        <f t="shared" ref="N66:N87" si="5">IF(LEFT(D66,2)="FY","费用报销单","费用应付单")</f>
        <v>费用报销单</v>
      </c>
      <c r="O66" s="2" t="s">
        <v>26</v>
      </c>
      <c r="P66" s="2">
        <v>54939.126999999957</v>
      </c>
      <c r="Q66" s="3" t="s">
        <v>262</v>
      </c>
    </row>
    <row r="67" spans="1:17" x14ac:dyDescent="0.25">
      <c r="A67" s="2">
        <v>66</v>
      </c>
      <c r="C67" s="3" t="str">
        <f>RIGHT(K67,(LEN(K67)-FIND("_",K67,1)))&amp;"_"&amp;COUNTIF($K$2:K67,K67)</f>
        <v>盘古_3</v>
      </c>
      <c r="D67" s="2" t="s">
        <v>263</v>
      </c>
      <c r="E67" s="2" t="s">
        <v>264</v>
      </c>
      <c r="F67" s="2" t="s">
        <v>265</v>
      </c>
      <c r="G67" s="2" t="str">
        <f>VLOOKUP(D67,data!A:B,2,0)</f>
        <v>已审核</v>
      </c>
      <c r="H67" s="7" t="s">
        <v>23</v>
      </c>
      <c r="I67" s="15" t="s">
        <v>334</v>
      </c>
      <c r="J67" s="2">
        <v>202502</v>
      </c>
      <c r="K67" s="2" t="s">
        <v>114</v>
      </c>
      <c r="L67" s="2" t="s">
        <v>25</v>
      </c>
      <c r="M67" s="2" t="str">
        <f t="shared" si="4"/>
        <v>望园香港</v>
      </c>
      <c r="N67" s="2" t="str">
        <f t="shared" si="5"/>
        <v>费用报销单</v>
      </c>
      <c r="O67" s="2" t="s">
        <v>115</v>
      </c>
      <c r="P67" s="2">
        <v>737.73599999999999</v>
      </c>
      <c r="Q67" s="3" t="s">
        <v>266</v>
      </c>
    </row>
    <row r="68" spans="1:17" x14ac:dyDescent="0.25">
      <c r="A68" s="2">
        <v>67</v>
      </c>
      <c r="C68" s="3" t="str">
        <f>RIGHT(K68,(LEN(K68)-FIND("_",K68,1)))&amp;"_"&amp;COUNTIF($K$2:K68,K68)</f>
        <v>美通_3</v>
      </c>
      <c r="D68" s="2" t="s">
        <v>267</v>
      </c>
      <c r="G68" s="2" t="str">
        <f>VLOOKUP(D68,data!A:B,2,0)</f>
        <v>付桂兰</v>
      </c>
      <c r="H68" s="2" t="s">
        <v>268</v>
      </c>
      <c r="I68" s="12">
        <f ca="1">NOW()-VLOOKUP(D68,data!A:D,4,0)</f>
        <v>6.950968749995809</v>
      </c>
      <c r="J68" s="2">
        <v>202501</v>
      </c>
      <c r="K68" s="2" t="s">
        <v>111</v>
      </c>
      <c r="L68" s="2" t="s">
        <v>25</v>
      </c>
      <c r="M68" s="2" t="str">
        <f t="shared" si="4"/>
        <v>望园香港</v>
      </c>
      <c r="N68" s="2" t="str">
        <f t="shared" si="5"/>
        <v>费用应付单</v>
      </c>
      <c r="O68" s="2" t="s">
        <v>26</v>
      </c>
      <c r="P68" s="9">
        <v>2108.7600000000002</v>
      </c>
      <c r="Q68" s="3" t="s">
        <v>269</v>
      </c>
    </row>
    <row r="69" spans="1:17" x14ac:dyDescent="0.25">
      <c r="A69" s="2">
        <v>68</v>
      </c>
      <c r="C69" s="3" t="str">
        <f>RIGHT(K69,(LEN(K69)-FIND("_",K69,1)))&amp;"_"&amp;COUNTIF($K$2:K69,K69)</f>
        <v>美通_4</v>
      </c>
      <c r="D69" s="2" t="s">
        <v>270</v>
      </c>
      <c r="G69" s="2" t="str">
        <f>VLOOKUP(D69,data!A:B,2,0)</f>
        <v>梁宏峰</v>
      </c>
      <c r="H69" s="2" t="s">
        <v>268</v>
      </c>
      <c r="I69" s="15">
        <f ca="1">NOW()-VLOOKUP(D69,data!A:D,4,0)</f>
        <v>1.2023460648051696</v>
      </c>
      <c r="J69" s="2">
        <v>202411</v>
      </c>
      <c r="K69" s="2" t="s">
        <v>111</v>
      </c>
      <c r="L69" s="2" t="s">
        <v>25</v>
      </c>
      <c r="M69" s="2" t="str">
        <f t="shared" si="4"/>
        <v>望园香港</v>
      </c>
      <c r="N69" s="2" t="str">
        <f t="shared" si="5"/>
        <v>费用应付单</v>
      </c>
      <c r="O69" s="2" t="s">
        <v>26</v>
      </c>
      <c r="P69" s="9">
        <v>4877.8999999999996</v>
      </c>
      <c r="Q69" s="3" t="s">
        <v>271</v>
      </c>
    </row>
    <row r="70" spans="1:17" x14ac:dyDescent="0.25">
      <c r="A70" s="2">
        <v>69</v>
      </c>
      <c r="C70" s="3" t="str">
        <f>RIGHT(K70,(LEN(K70)-FIND("_",K70,1)))&amp;"_"&amp;COUNTIF($K$2:K70,K70)</f>
        <v>安诺_22</v>
      </c>
      <c r="D70" s="2" t="s">
        <v>272</v>
      </c>
      <c r="E70" s="2" t="s">
        <v>273</v>
      </c>
      <c r="F70" s="2" t="s">
        <v>345</v>
      </c>
      <c r="G70" s="2" t="str">
        <f>VLOOKUP(D70,data!A:B,2,0)</f>
        <v>已审核</v>
      </c>
      <c r="H70" s="7" t="s">
        <v>23</v>
      </c>
      <c r="I70" s="15" t="s">
        <v>334</v>
      </c>
      <c r="J70" s="2">
        <v>202502</v>
      </c>
      <c r="K70" s="2" t="s">
        <v>37</v>
      </c>
      <c r="L70" s="2" t="s">
        <v>56</v>
      </c>
      <c r="M70" s="2" t="str">
        <f t="shared" si="4"/>
        <v>望园美国</v>
      </c>
      <c r="N70" s="2" t="str">
        <f t="shared" si="5"/>
        <v>费用报销单</v>
      </c>
      <c r="O70" s="2" t="s">
        <v>26</v>
      </c>
      <c r="P70" s="9">
        <v>918</v>
      </c>
      <c r="Q70" s="3" t="s">
        <v>274</v>
      </c>
    </row>
    <row r="71" spans="1:17" x14ac:dyDescent="0.25">
      <c r="A71" s="2">
        <v>70</v>
      </c>
      <c r="C71" s="3" t="str">
        <f>RIGHT(K71,(LEN(K71)-FIND("_",K71,1)))&amp;"_"&amp;COUNTIF($K$2:K71,K71)</f>
        <v>安诺_23</v>
      </c>
      <c r="D71" s="2" t="s">
        <v>275</v>
      </c>
      <c r="E71" s="2" t="s">
        <v>276</v>
      </c>
      <c r="F71" s="2" t="s">
        <v>343</v>
      </c>
      <c r="G71" s="2" t="str">
        <f>VLOOKUP(D71,data!A:B,2,0)</f>
        <v>已审核</v>
      </c>
      <c r="H71" s="7" t="s">
        <v>23</v>
      </c>
      <c r="I71" s="15" t="s">
        <v>334</v>
      </c>
      <c r="J71" s="2">
        <v>202502</v>
      </c>
      <c r="K71" s="2" t="s">
        <v>37</v>
      </c>
      <c r="L71" s="2" t="s">
        <v>56</v>
      </c>
      <c r="M71" s="2" t="str">
        <f t="shared" si="4"/>
        <v>望园美国</v>
      </c>
      <c r="N71" s="2" t="str">
        <f t="shared" si="5"/>
        <v>费用报销单</v>
      </c>
      <c r="O71" s="2" t="s">
        <v>26</v>
      </c>
      <c r="P71" s="9">
        <v>19868</v>
      </c>
      <c r="Q71" s="3" t="s">
        <v>277</v>
      </c>
    </row>
    <row r="72" spans="1:17" x14ac:dyDescent="0.25">
      <c r="A72" s="2">
        <v>71</v>
      </c>
      <c r="C72" s="3" t="str">
        <f>RIGHT(K72,(LEN(K72)-FIND("_",K72,1)))&amp;"_"&amp;COUNTIF($K$2:K72,K72)</f>
        <v>安诺_24</v>
      </c>
      <c r="D72" s="2" t="s">
        <v>278</v>
      </c>
      <c r="E72" s="2" t="s">
        <v>279</v>
      </c>
      <c r="F72" s="2" t="s">
        <v>344</v>
      </c>
      <c r="G72" s="2" t="str">
        <f>VLOOKUP(D72,data!A:B,2,0)</f>
        <v>已审核</v>
      </c>
      <c r="H72" s="7" t="s">
        <v>23</v>
      </c>
      <c r="I72" s="15" t="s">
        <v>334</v>
      </c>
      <c r="J72" s="2">
        <v>202502</v>
      </c>
      <c r="K72" s="2" t="s">
        <v>37</v>
      </c>
      <c r="L72" s="2" t="s">
        <v>56</v>
      </c>
      <c r="M72" s="2" t="str">
        <f t="shared" si="4"/>
        <v>望园美国</v>
      </c>
      <c r="N72" s="2" t="str">
        <f t="shared" si="5"/>
        <v>费用报销单</v>
      </c>
      <c r="O72" s="2" t="s">
        <v>26</v>
      </c>
      <c r="P72" s="9">
        <v>186.09</v>
      </c>
      <c r="Q72" s="3" t="s">
        <v>280</v>
      </c>
    </row>
    <row r="73" spans="1:17" x14ac:dyDescent="0.25">
      <c r="A73" s="2">
        <v>72</v>
      </c>
      <c r="C73" s="3" t="str">
        <f>RIGHT(K73,(LEN(K73)-FIND("_",K73,1)))&amp;"_"&amp;COUNTIF($K$2:K73,K73)</f>
        <v>安诺_25</v>
      </c>
      <c r="D73" s="2" t="s">
        <v>281</v>
      </c>
      <c r="G73" s="2" t="str">
        <f>VLOOKUP(D73,data!A:B,2,0)</f>
        <v>付桂兰</v>
      </c>
      <c r="H73" s="2" t="s">
        <v>268</v>
      </c>
      <c r="I73" s="15">
        <f ca="1">NOW()-VLOOKUP(D73,data!A:D,4,0)</f>
        <v>0.52646643518528435</v>
      </c>
      <c r="J73" s="2">
        <v>202502</v>
      </c>
      <c r="K73" s="2" t="s">
        <v>37</v>
      </c>
      <c r="L73" s="2" t="s">
        <v>56</v>
      </c>
      <c r="M73" s="2" t="str">
        <f t="shared" si="4"/>
        <v>望园美国</v>
      </c>
      <c r="N73" s="2" t="str">
        <f t="shared" si="5"/>
        <v>费用报销单</v>
      </c>
      <c r="O73" s="2" t="s">
        <v>26</v>
      </c>
      <c r="P73" s="9">
        <v>3398.38</v>
      </c>
      <c r="Q73" s="3" t="s">
        <v>282</v>
      </c>
    </row>
    <row r="74" spans="1:17" x14ac:dyDescent="0.25">
      <c r="A74" s="2">
        <v>73</v>
      </c>
      <c r="C74" s="3" t="str">
        <f>RIGHT(K74,(LEN(K74)-FIND("_",K74,1)))&amp;"_"&amp;COUNTIF($K$2:K74,K74)</f>
        <v>安诺_26</v>
      </c>
      <c r="D74" s="2" t="s">
        <v>283</v>
      </c>
      <c r="E74" s="2" t="s">
        <v>284</v>
      </c>
      <c r="F74" s="2" t="s">
        <v>342</v>
      </c>
      <c r="G74" s="2" t="str">
        <f>VLOOKUP(D74,data!A:B,2,0)</f>
        <v>已审核</v>
      </c>
      <c r="H74" s="7" t="s">
        <v>23</v>
      </c>
      <c r="I74" s="15" t="s">
        <v>334</v>
      </c>
      <c r="J74" s="2">
        <v>202502</v>
      </c>
      <c r="K74" s="2" t="s">
        <v>37</v>
      </c>
      <c r="L74" s="2" t="s">
        <v>25</v>
      </c>
      <c r="M74" s="2" t="str">
        <f t="shared" si="4"/>
        <v>望园香港</v>
      </c>
      <c r="N74" s="2" t="str">
        <f t="shared" si="5"/>
        <v>费用报销单</v>
      </c>
      <c r="O74" s="2" t="s">
        <v>26</v>
      </c>
      <c r="P74" s="9">
        <v>2877.34</v>
      </c>
      <c r="Q74" s="3" t="s">
        <v>285</v>
      </c>
    </row>
    <row r="75" spans="1:17" x14ac:dyDescent="0.25">
      <c r="A75" s="2">
        <v>74</v>
      </c>
      <c r="C75" s="3" t="str">
        <f>RIGHT(K75,(LEN(K75)-FIND("_",K75,1)))&amp;"_"&amp;COUNTIF($K$2:K75,K75)</f>
        <v>安捷利_23</v>
      </c>
      <c r="D75" s="2" t="s">
        <v>286</v>
      </c>
      <c r="G75" s="2" t="str">
        <f>VLOOKUP(D75,data!A:B,2,0)</f>
        <v>付桂兰</v>
      </c>
      <c r="H75" s="2" t="s">
        <v>268</v>
      </c>
      <c r="I75" s="15">
        <f ca="1">NOW()-VLOOKUP(D75,data!A:D,4,0)</f>
        <v>0.52689467593154404</v>
      </c>
      <c r="J75" s="2">
        <v>202502</v>
      </c>
      <c r="K75" s="2" t="s">
        <v>24</v>
      </c>
      <c r="L75" s="2" t="s">
        <v>56</v>
      </c>
      <c r="M75" s="2" t="str">
        <f t="shared" si="4"/>
        <v>望园美国</v>
      </c>
      <c r="N75" s="2" t="str">
        <f t="shared" si="5"/>
        <v>费用报销单</v>
      </c>
      <c r="O75" s="2" t="s">
        <v>26</v>
      </c>
      <c r="P75" s="2">
        <v>11625</v>
      </c>
      <c r="Q75" s="3" t="s">
        <v>287</v>
      </c>
    </row>
    <row r="76" spans="1:17" x14ac:dyDescent="0.25">
      <c r="A76" s="2">
        <v>75</v>
      </c>
      <c r="C76" s="3" t="str">
        <f>RIGHT(K76,(LEN(K76)-FIND("_",K76,1)))&amp;"_"&amp;COUNTIF($K$2:K76,K76)</f>
        <v>安捷利_24</v>
      </c>
      <c r="D76" s="2" t="s">
        <v>288</v>
      </c>
      <c r="E76" s="2" t="s">
        <v>289</v>
      </c>
      <c r="F76" s="2" t="s">
        <v>339</v>
      </c>
      <c r="G76" s="2" t="str">
        <f>VLOOKUP(D76,data!A:B,2,0)</f>
        <v>已审核</v>
      </c>
      <c r="H76" s="7" t="s">
        <v>23</v>
      </c>
      <c r="I76" s="15" t="s">
        <v>334</v>
      </c>
      <c r="J76" s="2">
        <v>202502</v>
      </c>
      <c r="K76" s="2" t="s">
        <v>24</v>
      </c>
      <c r="L76" s="2" t="s">
        <v>25</v>
      </c>
      <c r="M76" s="2" t="str">
        <f t="shared" si="4"/>
        <v>望园香港</v>
      </c>
      <c r="N76" s="2" t="str">
        <f t="shared" si="5"/>
        <v>费用报销单</v>
      </c>
      <c r="O76" s="2" t="s">
        <v>26</v>
      </c>
      <c r="P76" s="9">
        <v>8038.8</v>
      </c>
      <c r="Q76" s="3" t="s">
        <v>290</v>
      </c>
    </row>
    <row r="77" spans="1:17" x14ac:dyDescent="0.25">
      <c r="A77" s="2">
        <v>73</v>
      </c>
      <c r="C77" s="3" t="str">
        <f>RIGHT(K77,(LEN(K77)-FIND("_",K77,1)))&amp;"_"&amp;COUNTIF($K$2:K77,K77)</f>
        <v>安诺_27</v>
      </c>
      <c r="D77" s="2" t="s">
        <v>291</v>
      </c>
      <c r="G77" s="2" t="str">
        <f>VLOOKUP(D77,data!A:B,2,0)</f>
        <v>孙越</v>
      </c>
      <c r="H77" s="2" t="s">
        <v>268</v>
      </c>
      <c r="I77" s="15">
        <f ca="1">NOW()-VLOOKUP(D77,data!A:D,4,0)</f>
        <v>0.34394328703638166</v>
      </c>
      <c r="J77" s="2">
        <v>202502</v>
      </c>
      <c r="K77" s="2" t="s">
        <v>37</v>
      </c>
      <c r="L77" s="2" t="s">
        <v>56</v>
      </c>
      <c r="M77" s="2" t="str">
        <f t="shared" si="4"/>
        <v>望园美国</v>
      </c>
      <c r="N77" s="2" t="str">
        <f t="shared" si="5"/>
        <v>费用应付单</v>
      </c>
      <c r="O77" s="2" t="s">
        <v>26</v>
      </c>
      <c r="P77" s="9">
        <v>5749.0183327999994</v>
      </c>
      <c r="Q77" s="3" t="s">
        <v>292</v>
      </c>
    </row>
    <row r="78" spans="1:17" x14ac:dyDescent="0.25">
      <c r="A78" s="2">
        <v>74</v>
      </c>
      <c r="C78" s="3" t="str">
        <f>RIGHT(K78,(LEN(K78)-FIND("_",K78,1)))&amp;"_"&amp;COUNTIF($K$2:K78,K78)</f>
        <v>安捷利_25</v>
      </c>
      <c r="D78" s="2" t="s">
        <v>293</v>
      </c>
      <c r="G78" s="2" t="str">
        <f>VLOOKUP(D78,data!A:B,2,0)</f>
        <v>孙越</v>
      </c>
      <c r="H78" s="2" t="s">
        <v>268</v>
      </c>
      <c r="I78" s="15">
        <f ca="1">NOW()-VLOOKUP(D78,data!A:D,4,0)</f>
        <v>0.32930208332982147</v>
      </c>
      <c r="J78" s="2">
        <v>202502</v>
      </c>
      <c r="K78" s="2" t="s">
        <v>24</v>
      </c>
      <c r="L78" s="2" t="s">
        <v>56</v>
      </c>
      <c r="M78" s="2" t="str">
        <f t="shared" si="4"/>
        <v>望园美国</v>
      </c>
      <c r="N78" s="2" t="str">
        <f t="shared" si="5"/>
        <v>费用应付单</v>
      </c>
      <c r="O78" s="2" t="s">
        <v>26</v>
      </c>
      <c r="P78" s="9">
        <v>6732.16</v>
      </c>
      <c r="Q78" s="3" t="s">
        <v>294</v>
      </c>
    </row>
    <row r="79" spans="1:17" x14ac:dyDescent="0.25">
      <c r="A79" s="2">
        <v>75</v>
      </c>
      <c r="C79" s="3" t="str">
        <f>RIGHT(K79,(LEN(K79)-FIND("_",K79,1)))&amp;"_"&amp;COUNTIF($K$2:K79,K79)</f>
        <v>安捷利_26</v>
      </c>
      <c r="D79" s="2" t="s">
        <v>295</v>
      </c>
      <c r="G79" s="2" t="str">
        <f>VLOOKUP(D79,data!A:B,2,0)</f>
        <v>付桂兰</v>
      </c>
      <c r="H79" s="2" t="s">
        <v>268</v>
      </c>
      <c r="I79" s="15">
        <f ca="1">NOW()-VLOOKUP(D79,data!A:D,4,0)</f>
        <v>0.52666319443960674</v>
      </c>
      <c r="J79" s="2">
        <v>202502</v>
      </c>
      <c r="K79" s="2" t="s">
        <v>24</v>
      </c>
      <c r="L79" s="2" t="s">
        <v>56</v>
      </c>
      <c r="M79" s="2" t="str">
        <f t="shared" si="4"/>
        <v>望园美国</v>
      </c>
      <c r="N79" s="2" t="str">
        <f t="shared" si="5"/>
        <v>费用报销单</v>
      </c>
      <c r="O79" s="2" t="s">
        <v>26</v>
      </c>
      <c r="P79" s="9">
        <v>635</v>
      </c>
      <c r="Q79" s="3" t="s">
        <v>296</v>
      </c>
    </row>
    <row r="80" spans="1:17" x14ac:dyDescent="0.25">
      <c r="A80" s="2">
        <v>76</v>
      </c>
      <c r="C80" s="3" t="str">
        <f>RIGHT(K80,(LEN(K80)-FIND("_",K80,1)))&amp;"_"&amp;COUNTIF($K$2:K80,K80)</f>
        <v>美通_5</v>
      </c>
      <c r="D80" s="2" t="s">
        <v>297</v>
      </c>
      <c r="E80" s="2" t="s">
        <v>298</v>
      </c>
      <c r="G80" s="2" t="str">
        <f>VLOOKUP(D80,data!A:B,2,0)</f>
        <v>重新审核</v>
      </c>
      <c r="H80" s="8" t="s">
        <v>96</v>
      </c>
      <c r="I80" s="16">
        <f ca="1">NOW()-VLOOKUP(D80,data!A:D,4,0)</f>
        <v>7.0993831018495257</v>
      </c>
      <c r="J80" s="2">
        <v>202411</v>
      </c>
      <c r="K80" s="2" t="s">
        <v>111</v>
      </c>
      <c r="L80" s="2" t="s">
        <v>56</v>
      </c>
      <c r="M80" s="2" t="str">
        <f t="shared" si="4"/>
        <v>望园美国</v>
      </c>
      <c r="N80" s="2" t="str">
        <f t="shared" si="5"/>
        <v>费用应付单</v>
      </c>
      <c r="O80" s="2" t="s">
        <v>26</v>
      </c>
      <c r="P80" s="2">
        <v>23750.47</v>
      </c>
      <c r="Q80" s="3" t="s">
        <v>299</v>
      </c>
    </row>
    <row r="81" spans="1:17" x14ac:dyDescent="0.25">
      <c r="A81" s="2">
        <v>77</v>
      </c>
      <c r="C81" s="3" t="str">
        <f>RIGHT(K81,(LEN(K81)-FIND("_",K81,1)))&amp;"_"&amp;COUNTIF($K$2:K81,K81)</f>
        <v>美通_6</v>
      </c>
      <c r="D81" s="2" t="s">
        <v>300</v>
      </c>
      <c r="E81" s="3" t="s">
        <v>301</v>
      </c>
      <c r="G81" s="2" t="str">
        <f>VLOOKUP(D81,data!A:B,2,0)</f>
        <v>创建</v>
      </c>
      <c r="H81" s="2" t="s">
        <v>268</v>
      </c>
      <c r="I81" s="15" t="s">
        <v>334</v>
      </c>
      <c r="J81" s="2">
        <v>202501</v>
      </c>
      <c r="K81" s="2" t="s">
        <v>111</v>
      </c>
      <c r="L81" s="2" t="s">
        <v>56</v>
      </c>
      <c r="M81" s="2" t="str">
        <f t="shared" si="4"/>
        <v>望园美国</v>
      </c>
      <c r="N81" s="2" t="str">
        <f t="shared" si="5"/>
        <v>费用应付单</v>
      </c>
      <c r="O81" s="2" t="s">
        <v>26</v>
      </c>
      <c r="P81" s="2">
        <v>25442.3</v>
      </c>
      <c r="Q81" s="3" t="s">
        <v>302</v>
      </c>
    </row>
    <row r="82" spans="1:17" x14ac:dyDescent="0.25">
      <c r="A82" s="2">
        <v>78</v>
      </c>
      <c r="C82" s="3" t="str">
        <f>RIGHT(K82,(LEN(K82)-FIND("_",K82,1)))&amp;"_"&amp;COUNTIF($K$2:K82,K82)</f>
        <v>恺达_12</v>
      </c>
      <c r="D82" s="2" t="s">
        <v>303</v>
      </c>
      <c r="E82" s="2" t="s">
        <v>304</v>
      </c>
      <c r="F82" s="2" t="s">
        <v>349</v>
      </c>
      <c r="G82" s="2" t="str">
        <f>VLOOKUP(D82,data!A:B,2,0)</f>
        <v>已审核</v>
      </c>
      <c r="H82" s="7" t="s">
        <v>23</v>
      </c>
      <c r="I82" s="15" t="s">
        <v>334</v>
      </c>
      <c r="J82" s="2">
        <v>202502</v>
      </c>
      <c r="K82" s="2" t="s">
        <v>79</v>
      </c>
      <c r="L82" s="2" t="s">
        <v>80</v>
      </c>
      <c r="M82" s="2" t="str">
        <f t="shared" si="4"/>
        <v>望园美国</v>
      </c>
      <c r="N82" s="2" t="str">
        <f t="shared" si="5"/>
        <v>费用报销单</v>
      </c>
      <c r="O82" s="2" t="s">
        <v>26</v>
      </c>
      <c r="P82" s="2">
        <v>587.44000000000005</v>
      </c>
      <c r="Q82" s="3" t="s">
        <v>305</v>
      </c>
    </row>
    <row r="83" spans="1:17" x14ac:dyDescent="0.25">
      <c r="A83" s="2">
        <v>79</v>
      </c>
      <c r="C83" s="3" t="str">
        <f>RIGHT(K83,(LEN(K83)-FIND("_",K83,1)))&amp;"_"&amp;COUNTIF($K$2:K83,K83)</f>
        <v>恺达_13</v>
      </c>
      <c r="D83" s="2" t="s">
        <v>306</v>
      </c>
      <c r="E83" s="2" t="s">
        <v>307</v>
      </c>
      <c r="F83" s="2" t="s">
        <v>348</v>
      </c>
      <c r="G83" s="2" t="str">
        <f>VLOOKUP(D83,data!A:B,2,0)</f>
        <v>已审核</v>
      </c>
      <c r="H83" s="7" t="s">
        <v>23</v>
      </c>
      <c r="I83" s="15" t="s">
        <v>334</v>
      </c>
      <c r="J83" s="2">
        <v>202503</v>
      </c>
      <c r="K83" s="2" t="s">
        <v>79</v>
      </c>
      <c r="L83" s="2" t="s">
        <v>80</v>
      </c>
      <c r="M83" s="2" t="str">
        <f t="shared" si="4"/>
        <v>望园美国</v>
      </c>
      <c r="N83" s="2" t="str">
        <f t="shared" si="5"/>
        <v>费用报销单</v>
      </c>
      <c r="O83" s="2" t="s">
        <v>26</v>
      </c>
      <c r="P83" s="2">
        <v>314.7</v>
      </c>
      <c r="Q83" s="3" t="s">
        <v>308</v>
      </c>
    </row>
    <row r="84" spans="1:17" x14ac:dyDescent="0.25">
      <c r="A84" s="2">
        <v>80</v>
      </c>
      <c r="C84" s="3" t="str">
        <f>RIGHT(K84,(LEN(K84)-FIND("_",K84,1)))&amp;"_"&amp;COUNTIF($K$2:K84,K84)</f>
        <v>恺达_14</v>
      </c>
      <c r="D84" s="2" t="s">
        <v>309</v>
      </c>
      <c r="E84" s="2" t="s">
        <v>310</v>
      </c>
      <c r="F84" s="2" t="s">
        <v>347</v>
      </c>
      <c r="G84" s="2" t="str">
        <f>VLOOKUP(D84,data!A:B,2,0)</f>
        <v>已审核</v>
      </c>
      <c r="H84" s="7" t="s">
        <v>23</v>
      </c>
      <c r="I84" s="15" t="s">
        <v>334</v>
      </c>
      <c r="J84" s="2">
        <v>202502</v>
      </c>
      <c r="K84" s="2" t="s">
        <v>79</v>
      </c>
      <c r="L84" s="2" t="s">
        <v>56</v>
      </c>
      <c r="M84" s="2" t="str">
        <f t="shared" si="4"/>
        <v>望园美国</v>
      </c>
      <c r="N84" s="2" t="str">
        <f t="shared" si="5"/>
        <v>费用报销单</v>
      </c>
      <c r="O84" s="2" t="s">
        <v>26</v>
      </c>
      <c r="P84" s="2">
        <v>1828.57</v>
      </c>
      <c r="Q84" s="3" t="s">
        <v>311</v>
      </c>
    </row>
    <row r="85" spans="1:17" x14ac:dyDescent="0.25">
      <c r="A85" s="2">
        <v>81</v>
      </c>
      <c r="C85" s="3" t="str">
        <f>RIGHT(K85,(LEN(K85)-FIND("_",K85,1)))&amp;"_"&amp;COUNTIF($K$2:K85,K85)</f>
        <v>恺达_15</v>
      </c>
      <c r="D85" s="2" t="s">
        <v>312</v>
      </c>
      <c r="G85" s="2" t="str">
        <f>VLOOKUP(D85,data!A:B,2,0)</f>
        <v>梁宏峰</v>
      </c>
      <c r="H85" s="2" t="s">
        <v>268</v>
      </c>
      <c r="I85" s="15">
        <f ca="1">NOW()-VLOOKUP(D85,data!A:D,4,0)</f>
        <v>0.99412847221537959</v>
      </c>
      <c r="J85" s="2">
        <v>202503</v>
      </c>
      <c r="K85" s="2" t="s">
        <v>79</v>
      </c>
      <c r="L85" s="2" t="s">
        <v>56</v>
      </c>
      <c r="M85" s="2" t="str">
        <f t="shared" si="4"/>
        <v>望园美国</v>
      </c>
      <c r="N85" s="2" t="str">
        <f t="shared" si="5"/>
        <v>费用报销单</v>
      </c>
      <c r="O85" s="2" t="s">
        <v>26</v>
      </c>
      <c r="P85" s="2">
        <v>764.96</v>
      </c>
      <c r="Q85" s="3" t="s">
        <v>313</v>
      </c>
    </row>
    <row r="86" spans="1:17" x14ac:dyDescent="0.25">
      <c r="A86" s="2">
        <v>82</v>
      </c>
      <c r="C86" s="3" t="str">
        <f>RIGHT(K86,(LEN(K86)-FIND("_",K86,1)))&amp;"_"&amp;COUNTIF($K$2:K86,K86)</f>
        <v>恒广达_8</v>
      </c>
      <c r="D86" s="2" t="s">
        <v>314</v>
      </c>
      <c r="G86" s="2" t="str">
        <f>VLOOKUP(D86,data!A:B,2,0)</f>
        <v>梁宏峰</v>
      </c>
      <c r="H86" s="2" t="s">
        <v>268</v>
      </c>
      <c r="I86" s="15">
        <f ca="1">NOW()-VLOOKUP(D86,data!A:D,4,0)</f>
        <v>2.1871145833283663</v>
      </c>
      <c r="J86" s="2">
        <v>202503</v>
      </c>
      <c r="K86" s="2" t="s">
        <v>75</v>
      </c>
      <c r="L86" s="2" t="s">
        <v>56</v>
      </c>
      <c r="M86" s="2" t="str">
        <f t="shared" si="4"/>
        <v>望园美国</v>
      </c>
      <c r="N86" s="2" t="str">
        <f t="shared" si="5"/>
        <v>费用报销单</v>
      </c>
      <c r="O86" s="2" t="s">
        <v>26</v>
      </c>
      <c r="P86" s="2">
        <v>56000</v>
      </c>
      <c r="Q86" s="3" t="s">
        <v>315</v>
      </c>
    </row>
    <row r="87" spans="1:17" x14ac:dyDescent="0.25">
      <c r="A87" s="2">
        <v>83</v>
      </c>
      <c r="C87" s="3" t="str">
        <f>RIGHT(K87,(LEN(K87)-FIND("_",K87,1)))&amp;"_"&amp;COUNTIF($K$2:K87,K87)</f>
        <v>恺达_16</v>
      </c>
      <c r="D87" s="2" t="s">
        <v>323</v>
      </c>
      <c r="G87" s="2" t="str">
        <f>VLOOKUP(D87,data!A:B,2,0)</f>
        <v>孙越</v>
      </c>
      <c r="H87" s="2" t="s">
        <v>268</v>
      </c>
      <c r="I87" s="15">
        <f ca="1">NOW()-VLOOKUP(D87,data!A:D,4,0)</f>
        <v>0.32849189815169666</v>
      </c>
      <c r="J87" s="2">
        <v>202503</v>
      </c>
      <c r="K87" s="2" t="s">
        <v>79</v>
      </c>
      <c r="L87" s="2" t="s">
        <v>56</v>
      </c>
      <c r="M87" s="2" t="str">
        <f t="shared" si="4"/>
        <v>望园美国</v>
      </c>
      <c r="N87" s="2" t="str">
        <f t="shared" si="5"/>
        <v>费用应付单</v>
      </c>
      <c r="O87" s="2" t="s">
        <v>26</v>
      </c>
      <c r="P87" s="2">
        <v>5101.2</v>
      </c>
      <c r="Q87" s="3" t="s">
        <v>316</v>
      </c>
    </row>
    <row r="88" spans="1:17" x14ac:dyDescent="0.25">
      <c r="A88" s="2">
        <v>84</v>
      </c>
      <c r="C88" s="3" t="str">
        <f>RIGHT(K88,(LEN(K88)-FIND("_",K88,1)))&amp;"_"&amp;COUNTIF($K$2:K88,K88)</f>
        <v>环世_1</v>
      </c>
      <c r="D88" s="2" t="s">
        <v>338</v>
      </c>
      <c r="G88" s="2" t="e">
        <f>VLOOKUP(D88,data!A:B,2,0)</f>
        <v>#N/A</v>
      </c>
      <c r="H88" s="8" t="s">
        <v>96</v>
      </c>
      <c r="I88" s="15" t="s">
        <v>334</v>
      </c>
      <c r="J88" s="2">
        <v>202501</v>
      </c>
      <c r="K88" s="2" t="s">
        <v>335</v>
      </c>
      <c r="L88" s="2" t="s">
        <v>80</v>
      </c>
      <c r="M88" s="2" t="str">
        <f t="shared" ref="M88" si="6">IF(L88="欧洲","望园香港","望园美国")</f>
        <v>望园美国</v>
      </c>
      <c r="N88" s="2" t="str">
        <f t="shared" ref="N88" si="7">IF(LEFT(D88,2)="FY","费用报销单","费用应付单")</f>
        <v>费用应付单</v>
      </c>
      <c r="O88" s="2" t="s">
        <v>26</v>
      </c>
      <c r="P88" s="2">
        <v>19694.05</v>
      </c>
      <c r="Q88" s="3" t="s">
        <v>337</v>
      </c>
    </row>
  </sheetData>
  <autoFilter ref="A1:AML88" xr:uid="{00000000-0001-0000-0100-000000000000}"/>
  <phoneticPr fontId="3" type="noConversion"/>
  <dataValidations count="1">
    <dataValidation type="list" allowBlank="1" showInputMessage="1" showErrorMessage="1" sqref="B1048542:B1048576" xr:uid="{00000000-0002-0000-0100-000000000000}">
      <formula1>"1，0，-1"</formula1>
    </dataValidation>
  </dataValidations>
  <hyperlinks>
    <hyperlink ref="C1" r:id="rId1" xr:uid="{00000000-0004-0000-0100-000000000000}"/>
    <hyperlink ref="C2" r:id="rId2" display="../系统填报单据归档/1_安捷利" xr:uid="{00000000-0004-0000-0100-000001000000}"/>
    <hyperlink ref="C3" r:id="rId3" display="../系统填报单据归档/1_安捷利" xr:uid="{00000000-0004-0000-0100-000002000000}"/>
    <hyperlink ref="C4" r:id="rId4" display="../系统填报单据归档/1_安捷利" xr:uid="{00000000-0004-0000-0100-000003000000}"/>
    <hyperlink ref="C5" r:id="rId5" display="../系统填报单据归档/3_安诺" xr:uid="{00000000-0004-0000-0100-000004000000}"/>
    <hyperlink ref="C6" r:id="rId6" display="../系统填报单据归档/1_安捷利" xr:uid="{00000000-0004-0000-0100-000005000000}"/>
    <hyperlink ref="C7" r:id="rId7" display="../系统填报单据归档/1_安捷利" xr:uid="{00000000-0004-0000-0100-000006000000}"/>
    <hyperlink ref="C8" r:id="rId8" display="../系统填报单据归档/1_安捷利" xr:uid="{00000000-0004-0000-0100-000007000000}"/>
    <hyperlink ref="C9" r:id="rId9" display="../系统填报单据归档/1_安捷利" xr:uid="{00000000-0004-0000-0100-000008000000}"/>
    <hyperlink ref="C10" r:id="rId10" display="../系统填报单据归档/1_安捷利" xr:uid="{00000000-0004-0000-0100-000009000000}"/>
    <hyperlink ref="C11" r:id="rId11" display="../系统填报单据归档/1_安捷利" xr:uid="{00000000-0004-0000-0100-00000A000000}"/>
    <hyperlink ref="C12" r:id="rId12" display="../系统填报单据归档/3_安诺" xr:uid="{00000000-0004-0000-0100-00000B000000}"/>
    <hyperlink ref="C13" r:id="rId13" display="../系统填报单据归档/3_安诺" xr:uid="{00000000-0004-0000-0100-00000C000000}"/>
    <hyperlink ref="C14" r:id="rId14" display="../系统填报单据归档/3_安诺" xr:uid="{00000000-0004-0000-0100-00000D000000}"/>
    <hyperlink ref="C15" r:id="rId15" display="../系统填报单据归档/3_安诺" xr:uid="{00000000-0004-0000-0100-00000E000000}"/>
    <hyperlink ref="C16" r:id="rId16" display="../系统填报单据归档/5_恒广达" xr:uid="{00000000-0004-0000-0100-00000F000000}"/>
    <hyperlink ref="C17" r:id="rId17" display="../系统填报单据归档/4_恺达" xr:uid="{00000000-0004-0000-0100-000010000000}"/>
    <hyperlink ref="C18" r:id="rId18" display="../系统填报单据归档/4_恺达" xr:uid="{00000000-0004-0000-0100-000011000000}"/>
    <hyperlink ref="C19" r:id="rId19" display="../系统填报单据归档/3_安诺" xr:uid="{00000000-0004-0000-0100-000012000000}"/>
    <hyperlink ref="C20" r:id="rId20" display="../系统填报单据归档/4_恺达" xr:uid="{00000000-0004-0000-0100-000013000000}"/>
    <hyperlink ref="C21" r:id="rId21" display="../系统填报单据归档/1_安捷利" xr:uid="{00000000-0004-0000-0100-000014000000}"/>
    <hyperlink ref="C22" r:id="rId22" display="../系统填报单据归档/1_安捷利" xr:uid="{00000000-0004-0000-0100-000015000000}"/>
    <hyperlink ref="C23" r:id="rId23" display="../系统填报单据归档/5_恒广达" xr:uid="{00000000-0004-0000-0100-000016000000}"/>
    <hyperlink ref="C24" r:id="rId24" display="../系统填报单据归档/1_安捷利" xr:uid="{00000000-0004-0000-0100-000017000000}"/>
    <hyperlink ref="C25" r:id="rId25" display="../系统填报单据归档/3_安诺" xr:uid="{00000000-0004-0000-0100-000018000000}"/>
    <hyperlink ref="C26" r:id="rId26" display="../系统填报单据归档/2_美通" xr:uid="{00000000-0004-0000-0100-000019000000}"/>
    <hyperlink ref="C27" r:id="rId27" display="../系统填报单据归档/6_盘古" xr:uid="{00000000-0004-0000-0100-00001A000000}"/>
    <hyperlink ref="C28" r:id="rId28" display="../系统填报单据归档/4_恺达" xr:uid="{00000000-0004-0000-0100-00001B000000}"/>
    <hyperlink ref="C29" r:id="rId29" display="../系统填报单据归档/4_恺达" xr:uid="{00000000-0004-0000-0100-00001C000000}"/>
    <hyperlink ref="C30" r:id="rId30" display="../系统填报单据归档/3_安诺" xr:uid="{00000000-0004-0000-0100-00001D000000}"/>
    <hyperlink ref="C31" r:id="rId31" display="../系统填报单据归档/3_安诺" xr:uid="{00000000-0004-0000-0100-00001E000000}"/>
    <hyperlink ref="C32" r:id="rId32" display="../系统填报单据归档/3_安诺" xr:uid="{00000000-0004-0000-0100-00001F000000}"/>
    <hyperlink ref="C33" r:id="rId33" display="../系统填报单据归档/3_安诺" xr:uid="{00000000-0004-0000-0100-000020000000}"/>
    <hyperlink ref="C34" r:id="rId34" display="../系统填报单据归档/5_恒广达" xr:uid="{00000000-0004-0000-0100-000021000000}"/>
    <hyperlink ref="C35" r:id="rId35" display="../系统填报单据归档/3_安诺" xr:uid="{00000000-0004-0000-0100-000022000000}"/>
    <hyperlink ref="C36" r:id="rId36" display="../系统填报单据归档/5_恒广达" xr:uid="{00000000-0004-0000-0100-000023000000}"/>
    <hyperlink ref="C37" r:id="rId37" display="../系统填报单据归档/4_恺达" xr:uid="{00000000-0004-0000-0100-000024000000}"/>
    <hyperlink ref="C38" r:id="rId38" display="../系统填报单据归档/5_恒广达" xr:uid="{00000000-0004-0000-0100-000025000000}"/>
    <hyperlink ref="C39" r:id="rId39" display="../系统填报单据归档/3_安诺" xr:uid="{00000000-0004-0000-0100-000026000000}"/>
    <hyperlink ref="C40" r:id="rId40" display="../系统填报单据归档/3_安诺" xr:uid="{00000000-0004-0000-0100-000027000000}"/>
    <hyperlink ref="C41" r:id="rId41" display="../系统填报单据归档/3_安诺" xr:uid="{00000000-0004-0000-0100-000028000000}"/>
    <hyperlink ref="C42" r:id="rId42" display="../系统填报单据归档/3_安诺" xr:uid="{00000000-0004-0000-0100-000029000000}"/>
    <hyperlink ref="C43" r:id="rId43" display="../系统填报单据归档/3_安诺" xr:uid="{00000000-0004-0000-0100-00002A000000}"/>
    <hyperlink ref="C44" r:id="rId44" display="../系统填报单据归档/3_安诺" xr:uid="{00000000-0004-0000-0100-00002B000000}"/>
    <hyperlink ref="C45" r:id="rId45" display="../系统填报单据归档/3_安诺" xr:uid="{00000000-0004-0000-0100-00002C000000}"/>
    <hyperlink ref="C46" r:id="rId46" display="../系统填报单据归档/6_盘古" xr:uid="{00000000-0004-0000-0100-00002D000000}"/>
    <hyperlink ref="C47" r:id="rId47" display="../系统填报单据归档/4_恺达" xr:uid="{00000000-0004-0000-0100-00002E000000}"/>
    <hyperlink ref="C48" r:id="rId48" display="../系统填报单据归档/4_恺达" xr:uid="{00000000-0004-0000-0100-00002F000000}"/>
    <hyperlink ref="C49" r:id="rId49" display="../系统填报单据归档/3_安诺" xr:uid="{00000000-0004-0000-0100-000030000000}"/>
    <hyperlink ref="C50" r:id="rId50" display="../系统填报单据归档/3_安诺" xr:uid="{00000000-0004-0000-0100-000031000000}"/>
    <hyperlink ref="C51" r:id="rId51" display="../系统填报单据归档/1_安捷利" xr:uid="{00000000-0004-0000-0100-000032000000}"/>
    <hyperlink ref="C52" r:id="rId52" display="../系统填报单据归档/1_安捷利" xr:uid="{00000000-0004-0000-0100-000033000000}"/>
    <hyperlink ref="C53" r:id="rId53" display="../系统填报单据归档/1_安捷利" xr:uid="{00000000-0004-0000-0100-000034000000}"/>
    <hyperlink ref="C54" r:id="rId54" display="../系统填报单据归档/1_安捷利" xr:uid="{00000000-0004-0000-0100-000035000000}"/>
    <hyperlink ref="C55" r:id="rId55" display="../系统填报单据归档/1_安捷利" xr:uid="{00000000-0004-0000-0100-000036000000}"/>
    <hyperlink ref="C56" r:id="rId56" display="../系统填报单据归档/1_安捷利" xr:uid="{00000000-0004-0000-0100-000037000000}"/>
    <hyperlink ref="C57" r:id="rId57" display="../系统填报单据归档/1_安捷利" xr:uid="{00000000-0004-0000-0100-000038000000}"/>
    <hyperlink ref="C58" r:id="rId58" display="../系统填报单据归档/1_安捷利" xr:uid="{00000000-0004-0000-0100-000039000000}"/>
    <hyperlink ref="C59" r:id="rId59" display="../系统填报单据归档/1_安捷利" xr:uid="{00000000-0004-0000-0100-00003A000000}"/>
    <hyperlink ref="C60" r:id="rId60" display="../系统填报单据归档/1_安捷利" xr:uid="{00000000-0004-0000-0100-00003B000000}"/>
    <hyperlink ref="C61" r:id="rId61" display="../系统填报单据归档/4_恺达" xr:uid="{00000000-0004-0000-0100-00003C000000}"/>
    <hyperlink ref="C62" r:id="rId62" display="../系统填报单据归档/4_恺达" xr:uid="{00000000-0004-0000-0100-00003D000000}"/>
    <hyperlink ref="C63" r:id="rId63" display="../系统填报单据归档/4_恺达" xr:uid="{00000000-0004-0000-0100-00003E000000}"/>
    <hyperlink ref="C64" r:id="rId64" display="../系统填报单据归档/2_美通" xr:uid="{00000000-0004-0000-0100-00003F000000}"/>
    <hyperlink ref="C65" r:id="rId65" display="../系统填报单据归档/5_恒广达" xr:uid="{00000000-0004-0000-0100-000040000000}"/>
    <hyperlink ref="C66" r:id="rId66" display="../系统填报单据归档/5_恒广达" xr:uid="{00000000-0004-0000-0100-000041000000}"/>
    <hyperlink ref="C67" r:id="rId67" display="../系统填报单据归档/6_盘古" xr:uid="{00000000-0004-0000-0100-000042000000}"/>
    <hyperlink ref="C68" r:id="rId68" display="../系统填报单据归档/2_美通" xr:uid="{00000000-0004-0000-0100-000043000000}"/>
    <hyperlink ref="C69" r:id="rId69" display="../系统填报单据归档/2_美通" xr:uid="{00000000-0004-0000-0100-000044000000}"/>
    <hyperlink ref="C70" r:id="rId70" display="../系统填报单据归档/3_安诺" xr:uid="{00000000-0004-0000-0100-000045000000}"/>
    <hyperlink ref="C71" r:id="rId71" display="../系统填报单据归档/3_安诺" xr:uid="{00000000-0004-0000-0100-000046000000}"/>
    <hyperlink ref="C72" r:id="rId72" display="../系统填报单据归档/3_安诺" xr:uid="{00000000-0004-0000-0100-000047000000}"/>
    <hyperlink ref="C73" r:id="rId73" display="../系统填报单据归档/3_安诺" xr:uid="{00000000-0004-0000-0100-000048000000}"/>
    <hyperlink ref="C74" r:id="rId74" display="../系统填报单据归档/3_安诺" xr:uid="{00000000-0004-0000-0100-000049000000}"/>
    <hyperlink ref="C75" r:id="rId75" display="../系统填报单据归档/1_安捷利" xr:uid="{00000000-0004-0000-0100-00004A000000}"/>
    <hyperlink ref="C76" r:id="rId76" display="../系统填报单据归档/1_安捷利" xr:uid="{00000000-0004-0000-0100-00004B000000}"/>
    <hyperlink ref="C77" r:id="rId77" display="../系统填报单据归档/3_安诺" xr:uid="{00000000-0004-0000-0100-00004C000000}"/>
    <hyperlink ref="C78" r:id="rId78" display="../系统填报单据归档/1_安捷利" xr:uid="{00000000-0004-0000-0100-00004D000000}"/>
    <hyperlink ref="C79" r:id="rId79" display="../系统填报单据归档/1_安捷利" xr:uid="{00000000-0004-0000-0100-00004E000000}"/>
    <hyperlink ref="C80" r:id="rId80" display="../系统填报单据归档/2_美通" xr:uid="{00000000-0004-0000-0100-00004F000000}"/>
    <hyperlink ref="C81" r:id="rId81" display="../系统填报单据归档/2_美通" xr:uid="{00000000-0004-0000-0100-000050000000}"/>
    <hyperlink ref="C82" r:id="rId82" display="../系统填报单据归档/4_恺达" xr:uid="{00000000-0004-0000-0100-000051000000}"/>
    <hyperlink ref="C83" r:id="rId83" display="../系统填报单据归档/4_恺达" xr:uid="{00000000-0004-0000-0100-000052000000}"/>
    <hyperlink ref="C84" r:id="rId84" display="../系统填报单据归档/4_恺达" xr:uid="{00000000-0004-0000-0100-000053000000}"/>
    <hyperlink ref="C85" r:id="rId85" display="../系统填报单据归档/4_恺达" xr:uid="{00000000-0004-0000-0100-000054000000}"/>
    <hyperlink ref="C86" r:id="rId86" display="../系统填报单据归档/5_恒广达" xr:uid="{00000000-0004-0000-0100-000055000000}"/>
    <hyperlink ref="C87" r:id="rId87" display="../系统填报单据归档/5_恒广达" xr:uid="{00000000-0004-0000-0100-000056000000}"/>
    <hyperlink ref="C88" r:id="rId88" display="../系统填报单据归档/5_恒广达" xr:uid="{642F1049-EBDD-4E48-943D-3C07CD582835}"/>
  </hyperlinks>
  <pageMargins left="0.7" right="0.7" top="0.75" bottom="0.75" header="0.51180555555555496" footer="0.51180555555555496"/>
  <pageSetup paperSize="9" firstPageNumber="0" orientation="portrait" horizontalDpi="300" verticalDpi="300" r:id="rId8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87"/>
  <sheetViews>
    <sheetView topLeftCell="A55" workbookViewId="0">
      <selection activeCell="N67" sqref="N67"/>
    </sheetView>
  </sheetViews>
  <sheetFormatPr defaultRowHeight="15.05" x14ac:dyDescent="0.25"/>
  <cols>
    <col min="1" max="1" width="16.109375" bestFit="1" customWidth="1"/>
    <col min="4" max="4" width="21.5546875" style="10" bestFit="1" customWidth="1"/>
  </cols>
  <sheetData>
    <row r="1" spans="1:4" x14ac:dyDescent="0.25">
      <c r="A1" t="s">
        <v>53</v>
      </c>
      <c r="B1" t="s">
        <v>317</v>
      </c>
      <c r="D1"/>
    </row>
    <row r="2" spans="1:4" x14ac:dyDescent="0.25">
      <c r="A2" t="s">
        <v>58</v>
      </c>
      <c r="B2" t="s">
        <v>317</v>
      </c>
      <c r="D2"/>
    </row>
    <row r="3" spans="1:4" x14ac:dyDescent="0.25">
      <c r="A3" t="s">
        <v>20</v>
      </c>
      <c r="B3" t="s">
        <v>317</v>
      </c>
      <c r="D3"/>
    </row>
    <row r="4" spans="1:4" x14ac:dyDescent="0.25">
      <c r="A4" t="s">
        <v>28</v>
      </c>
      <c r="B4" t="s">
        <v>317</v>
      </c>
      <c r="D4"/>
    </row>
    <row r="5" spans="1:4" x14ac:dyDescent="0.25">
      <c r="A5" t="s">
        <v>32</v>
      </c>
      <c r="B5" t="s">
        <v>317</v>
      </c>
      <c r="D5"/>
    </row>
    <row r="6" spans="1:4" x14ac:dyDescent="0.25">
      <c r="A6" t="s">
        <v>62</v>
      </c>
      <c r="B6" t="s">
        <v>317</v>
      </c>
      <c r="D6"/>
    </row>
    <row r="7" spans="1:4" x14ac:dyDescent="0.25">
      <c r="A7" t="s">
        <v>65</v>
      </c>
      <c r="B7" t="s">
        <v>317</v>
      </c>
      <c r="D7"/>
    </row>
    <row r="8" spans="1:4" x14ac:dyDescent="0.25">
      <c r="A8" t="s">
        <v>68</v>
      </c>
      <c r="B8" t="s">
        <v>317</v>
      </c>
      <c r="D8"/>
    </row>
    <row r="9" spans="1:4" x14ac:dyDescent="0.25">
      <c r="A9" t="s">
        <v>71</v>
      </c>
      <c r="B9" t="s">
        <v>317</v>
      </c>
      <c r="D9"/>
    </row>
    <row r="10" spans="1:4" x14ac:dyDescent="0.25">
      <c r="A10" t="s">
        <v>35</v>
      </c>
      <c r="B10" t="s">
        <v>317</v>
      </c>
      <c r="D10"/>
    </row>
    <row r="11" spans="1:4" x14ac:dyDescent="0.25">
      <c r="A11" t="s">
        <v>9</v>
      </c>
      <c r="B11" t="s">
        <v>317</v>
      </c>
      <c r="D11"/>
    </row>
    <row r="12" spans="1:4" x14ac:dyDescent="0.25">
      <c r="A12" t="s">
        <v>77</v>
      </c>
      <c r="B12" t="s">
        <v>317</v>
      </c>
      <c r="D12"/>
    </row>
    <row r="13" spans="1:4" x14ac:dyDescent="0.25">
      <c r="A13" t="s">
        <v>39</v>
      </c>
      <c r="B13" t="s">
        <v>317</v>
      </c>
      <c r="D13"/>
    </row>
    <row r="14" spans="1:4" x14ac:dyDescent="0.25">
      <c r="A14" t="s">
        <v>42</v>
      </c>
      <c r="B14" t="s">
        <v>317</v>
      </c>
      <c r="D14"/>
    </row>
    <row r="15" spans="1:4" x14ac:dyDescent="0.25">
      <c r="A15" t="s">
        <v>46</v>
      </c>
      <c r="B15" t="s">
        <v>317</v>
      </c>
      <c r="D15"/>
    </row>
    <row r="16" spans="1:4" x14ac:dyDescent="0.25">
      <c r="A16" t="s">
        <v>49</v>
      </c>
      <c r="B16" t="s">
        <v>317</v>
      </c>
      <c r="D16"/>
    </row>
    <row r="17" spans="1:4" x14ac:dyDescent="0.25">
      <c r="A17" t="s">
        <v>82</v>
      </c>
      <c r="B17" t="s">
        <v>317</v>
      </c>
      <c r="D17"/>
    </row>
    <row r="18" spans="1:4" x14ac:dyDescent="0.25">
      <c r="A18" t="s">
        <v>85</v>
      </c>
      <c r="B18" t="s">
        <v>317</v>
      </c>
      <c r="D18"/>
    </row>
    <row r="19" spans="1:4" x14ac:dyDescent="0.25">
      <c r="A19" t="s">
        <v>88</v>
      </c>
      <c r="B19" t="s">
        <v>317</v>
      </c>
      <c r="D19"/>
    </row>
    <row r="20" spans="1:4" x14ac:dyDescent="0.25">
      <c r="A20" t="s">
        <v>98</v>
      </c>
      <c r="B20" t="s">
        <v>317</v>
      </c>
      <c r="D20"/>
    </row>
    <row r="21" spans="1:4" x14ac:dyDescent="0.25">
      <c r="A21" t="s">
        <v>113</v>
      </c>
      <c r="B21" t="s">
        <v>317</v>
      </c>
      <c r="D21"/>
    </row>
    <row r="22" spans="1:4" x14ac:dyDescent="0.25">
      <c r="A22" t="s">
        <v>120</v>
      </c>
      <c r="B22" t="s">
        <v>317</v>
      </c>
      <c r="D22"/>
    </row>
    <row r="23" spans="1:4" x14ac:dyDescent="0.25">
      <c r="A23" t="s">
        <v>123</v>
      </c>
      <c r="B23" t="s">
        <v>317</v>
      </c>
      <c r="D23"/>
    </row>
    <row r="24" spans="1:4" x14ac:dyDescent="0.25">
      <c r="A24" t="s">
        <v>131</v>
      </c>
      <c r="B24" t="s">
        <v>317</v>
      </c>
      <c r="D24"/>
    </row>
    <row r="25" spans="1:4" x14ac:dyDescent="0.25">
      <c r="A25" t="s">
        <v>139</v>
      </c>
      <c r="B25" t="s">
        <v>317</v>
      </c>
      <c r="D25"/>
    </row>
    <row r="26" spans="1:4" x14ac:dyDescent="0.25">
      <c r="A26" t="s">
        <v>143</v>
      </c>
      <c r="B26" t="s">
        <v>317</v>
      </c>
      <c r="D26"/>
    </row>
    <row r="27" spans="1:4" x14ac:dyDescent="0.25">
      <c r="A27" t="s">
        <v>187</v>
      </c>
      <c r="B27" t="s">
        <v>317</v>
      </c>
      <c r="D27"/>
    </row>
    <row r="28" spans="1:4" x14ac:dyDescent="0.25">
      <c r="A28" t="s">
        <v>147</v>
      </c>
      <c r="B28" t="s">
        <v>317</v>
      </c>
      <c r="D28"/>
    </row>
    <row r="29" spans="1:4" x14ac:dyDescent="0.25">
      <c r="A29" t="s">
        <v>155</v>
      </c>
      <c r="B29" t="s">
        <v>317</v>
      </c>
      <c r="D29"/>
    </row>
    <row r="30" spans="1:4" x14ac:dyDescent="0.25">
      <c r="A30" t="s">
        <v>163</v>
      </c>
      <c r="B30" t="s">
        <v>317</v>
      </c>
      <c r="D30"/>
    </row>
    <row r="31" spans="1:4" x14ac:dyDescent="0.25">
      <c r="A31" t="s">
        <v>167</v>
      </c>
      <c r="B31" t="s">
        <v>317</v>
      </c>
      <c r="D31"/>
    </row>
    <row r="32" spans="1:4" x14ac:dyDescent="0.25">
      <c r="A32" t="s">
        <v>171</v>
      </c>
      <c r="B32" t="s">
        <v>317</v>
      </c>
      <c r="D32"/>
    </row>
    <row r="33" spans="1:4" x14ac:dyDescent="0.25">
      <c r="A33" t="s">
        <v>159</v>
      </c>
      <c r="B33" t="s">
        <v>317</v>
      </c>
      <c r="D33"/>
    </row>
    <row r="34" spans="1:4" x14ac:dyDescent="0.25">
      <c r="A34" t="s">
        <v>175</v>
      </c>
      <c r="B34" t="s">
        <v>317</v>
      </c>
      <c r="D34"/>
    </row>
    <row r="35" spans="1:4" x14ac:dyDescent="0.25">
      <c r="A35" t="s">
        <v>183</v>
      </c>
      <c r="B35" t="s">
        <v>317</v>
      </c>
      <c r="D35"/>
    </row>
    <row r="36" spans="1:4" x14ac:dyDescent="0.25">
      <c r="A36" t="s">
        <v>179</v>
      </c>
      <c r="B36" t="s">
        <v>317</v>
      </c>
      <c r="D36"/>
    </row>
    <row r="37" spans="1:4" x14ac:dyDescent="0.25">
      <c r="A37" t="s">
        <v>191</v>
      </c>
      <c r="B37" t="s">
        <v>317</v>
      </c>
      <c r="D37"/>
    </row>
    <row r="38" spans="1:4" x14ac:dyDescent="0.25">
      <c r="A38" t="s">
        <v>203</v>
      </c>
      <c r="B38" t="s">
        <v>317</v>
      </c>
      <c r="D38" s="11"/>
    </row>
    <row r="39" spans="1:4" x14ac:dyDescent="0.25">
      <c r="A39" t="s">
        <v>207</v>
      </c>
      <c r="B39" t="s">
        <v>317</v>
      </c>
      <c r="D39"/>
    </row>
    <row r="40" spans="1:4" x14ac:dyDescent="0.25">
      <c r="A40" t="s">
        <v>211</v>
      </c>
      <c r="B40" t="s">
        <v>317</v>
      </c>
      <c r="D40"/>
    </row>
    <row r="41" spans="1:4" x14ac:dyDescent="0.25">
      <c r="A41" t="s">
        <v>215</v>
      </c>
      <c r="B41" t="s">
        <v>317</v>
      </c>
      <c r="D41" s="11"/>
    </row>
    <row r="42" spans="1:4" x14ac:dyDescent="0.25">
      <c r="A42" t="s">
        <v>218</v>
      </c>
      <c r="B42" t="s">
        <v>317</v>
      </c>
      <c r="D42"/>
    </row>
    <row r="43" spans="1:4" x14ac:dyDescent="0.25">
      <c r="A43" t="s">
        <v>226</v>
      </c>
      <c r="B43" t="s">
        <v>317</v>
      </c>
      <c r="D43"/>
    </row>
    <row r="44" spans="1:4" x14ac:dyDescent="0.25">
      <c r="A44" t="s">
        <v>230</v>
      </c>
      <c r="B44" t="s">
        <v>317</v>
      </c>
      <c r="D44"/>
    </row>
    <row r="45" spans="1:4" x14ac:dyDescent="0.25">
      <c r="A45" t="s">
        <v>234</v>
      </c>
      <c r="B45" t="s">
        <v>317</v>
      </c>
      <c r="D45"/>
    </row>
    <row r="46" spans="1:4" x14ac:dyDescent="0.25">
      <c r="A46" t="s">
        <v>238</v>
      </c>
      <c r="B46" t="s">
        <v>317</v>
      </c>
      <c r="D46"/>
    </row>
    <row r="47" spans="1:4" x14ac:dyDescent="0.25">
      <c r="A47" t="s">
        <v>242</v>
      </c>
      <c r="B47" t="s">
        <v>317</v>
      </c>
      <c r="D47"/>
    </row>
    <row r="48" spans="1:4" x14ac:dyDescent="0.25">
      <c r="A48" t="s">
        <v>246</v>
      </c>
      <c r="B48" t="s">
        <v>317</v>
      </c>
      <c r="D48" s="11"/>
    </row>
    <row r="49" spans="1:4" x14ac:dyDescent="0.25">
      <c r="A49" t="s">
        <v>249</v>
      </c>
      <c r="B49" t="s">
        <v>317</v>
      </c>
      <c r="D49" s="11"/>
    </row>
    <row r="50" spans="1:4" x14ac:dyDescent="0.25">
      <c r="A50" t="s">
        <v>255</v>
      </c>
      <c r="B50" t="s">
        <v>317</v>
      </c>
      <c r="D50"/>
    </row>
    <row r="51" spans="1:4" x14ac:dyDescent="0.25">
      <c r="A51" t="s">
        <v>259</v>
      </c>
      <c r="B51" t="s">
        <v>317</v>
      </c>
      <c r="D51"/>
    </row>
    <row r="52" spans="1:4" x14ac:dyDescent="0.25">
      <c r="A52" t="s">
        <v>263</v>
      </c>
      <c r="B52" t="s">
        <v>317</v>
      </c>
      <c r="D52"/>
    </row>
    <row r="53" spans="1:4" x14ac:dyDescent="0.25">
      <c r="A53" t="s">
        <v>272</v>
      </c>
      <c r="B53" t="s">
        <v>317</v>
      </c>
      <c r="D53" s="11"/>
    </row>
    <row r="54" spans="1:4" x14ac:dyDescent="0.25">
      <c r="A54" t="s">
        <v>275</v>
      </c>
      <c r="B54" t="s">
        <v>317</v>
      </c>
      <c r="D54" s="11"/>
    </row>
    <row r="55" spans="1:4" x14ac:dyDescent="0.25">
      <c r="A55" t="s">
        <v>278</v>
      </c>
      <c r="B55" t="s">
        <v>317</v>
      </c>
      <c r="D55" s="11"/>
    </row>
    <row r="56" spans="1:4" x14ac:dyDescent="0.25">
      <c r="A56" t="s">
        <v>281</v>
      </c>
      <c r="B56" t="s">
        <v>318</v>
      </c>
      <c r="C56" t="s">
        <v>318</v>
      </c>
      <c r="D56" s="11">
        <v>45743.134479166663</v>
      </c>
    </row>
    <row r="57" spans="1:4" x14ac:dyDescent="0.25">
      <c r="A57" t="s">
        <v>283</v>
      </c>
      <c r="B57" t="s">
        <v>317</v>
      </c>
      <c r="D57" s="11"/>
    </row>
    <row r="58" spans="1:4" x14ac:dyDescent="0.25">
      <c r="A58" t="s">
        <v>286</v>
      </c>
      <c r="B58" t="s">
        <v>318</v>
      </c>
      <c r="C58" t="s">
        <v>318</v>
      </c>
      <c r="D58" s="11">
        <v>45743.134050925917</v>
      </c>
    </row>
    <row r="59" spans="1:4" x14ac:dyDescent="0.25">
      <c r="A59" t="s">
        <v>288</v>
      </c>
      <c r="B59" t="s">
        <v>317</v>
      </c>
      <c r="D59" s="11"/>
    </row>
    <row r="60" spans="1:4" x14ac:dyDescent="0.25">
      <c r="A60" t="s">
        <v>319</v>
      </c>
      <c r="B60" t="s">
        <v>320</v>
      </c>
      <c r="C60" t="s">
        <v>321</v>
      </c>
      <c r="D60" s="11">
        <v>45736.529467592591</v>
      </c>
    </row>
    <row r="61" spans="1:4" x14ac:dyDescent="0.25">
      <c r="A61" t="s">
        <v>295</v>
      </c>
      <c r="B61" t="s">
        <v>318</v>
      </c>
      <c r="C61" t="s">
        <v>318</v>
      </c>
      <c r="D61" s="11">
        <v>45743.134282407409</v>
      </c>
    </row>
    <row r="62" spans="1:4" x14ac:dyDescent="0.25">
      <c r="A62" t="s">
        <v>303</v>
      </c>
      <c r="B62" t="s">
        <v>317</v>
      </c>
      <c r="D62" s="11"/>
    </row>
    <row r="63" spans="1:4" x14ac:dyDescent="0.25">
      <c r="A63" t="s">
        <v>306</v>
      </c>
      <c r="B63" t="s">
        <v>317</v>
      </c>
      <c r="D63" s="11"/>
    </row>
    <row r="64" spans="1:4" x14ac:dyDescent="0.25">
      <c r="A64" t="s">
        <v>309</v>
      </c>
      <c r="B64" t="s">
        <v>317</v>
      </c>
      <c r="D64" s="11"/>
    </row>
    <row r="65" spans="1:4" x14ac:dyDescent="0.25">
      <c r="A65" t="s">
        <v>312</v>
      </c>
      <c r="B65" t="s">
        <v>322</v>
      </c>
      <c r="C65" t="s">
        <v>322</v>
      </c>
      <c r="D65" s="11">
        <v>45742.666817129633</v>
      </c>
    </row>
    <row r="66" spans="1:4" x14ac:dyDescent="0.25">
      <c r="A66" t="s">
        <v>314</v>
      </c>
      <c r="B66" t="s">
        <v>322</v>
      </c>
      <c r="C66" t="s">
        <v>322</v>
      </c>
      <c r="D66" s="11">
        <v>45741.47383101852</v>
      </c>
    </row>
    <row r="67" spans="1:4" x14ac:dyDescent="0.25">
      <c r="A67" t="s">
        <v>323</v>
      </c>
      <c r="B67" t="s">
        <v>324</v>
      </c>
      <c r="C67" t="s">
        <v>324</v>
      </c>
      <c r="D67" s="11">
        <v>45743.332453703697</v>
      </c>
    </row>
    <row r="68" spans="1:4" x14ac:dyDescent="0.25">
      <c r="A68" t="s">
        <v>291</v>
      </c>
      <c r="B68" t="s">
        <v>324</v>
      </c>
      <c r="C68" t="s">
        <v>324</v>
      </c>
      <c r="D68" s="11">
        <v>45743.317002314812</v>
      </c>
    </row>
    <row r="69" spans="1:4" x14ac:dyDescent="0.25">
      <c r="A69" t="s">
        <v>300</v>
      </c>
      <c r="B69" t="s">
        <v>325</v>
      </c>
      <c r="D69" s="11"/>
    </row>
    <row r="70" spans="1:4" x14ac:dyDescent="0.25">
      <c r="A70" t="s">
        <v>297</v>
      </c>
      <c r="B70" t="s">
        <v>320</v>
      </c>
      <c r="C70" t="s">
        <v>321</v>
      </c>
      <c r="D70" s="11">
        <v>45736.561562499999</v>
      </c>
    </row>
    <row r="71" spans="1:4" x14ac:dyDescent="0.25">
      <c r="A71" t="s">
        <v>293</v>
      </c>
      <c r="B71" t="s">
        <v>324</v>
      </c>
      <c r="C71" t="s">
        <v>324</v>
      </c>
      <c r="D71" s="11">
        <v>45743.331643518519</v>
      </c>
    </row>
    <row r="72" spans="1:4" x14ac:dyDescent="0.25">
      <c r="A72" t="s">
        <v>270</v>
      </c>
      <c r="B72" t="s">
        <v>322</v>
      </c>
      <c r="C72" t="s">
        <v>322</v>
      </c>
      <c r="D72" s="11">
        <v>45742.458599537043</v>
      </c>
    </row>
    <row r="73" spans="1:4" x14ac:dyDescent="0.25">
      <c r="A73" t="s">
        <v>267</v>
      </c>
      <c r="B73" t="s">
        <v>318</v>
      </c>
      <c r="C73" t="s">
        <v>318</v>
      </c>
      <c r="D73" s="11">
        <v>45736.709976851853</v>
      </c>
    </row>
    <row r="74" spans="1:4" x14ac:dyDescent="0.25">
      <c r="A74" t="s">
        <v>252</v>
      </c>
      <c r="B74" t="s">
        <v>317</v>
      </c>
      <c r="D74" s="11"/>
    </row>
    <row r="75" spans="1:4" x14ac:dyDescent="0.25">
      <c r="A75" t="s">
        <v>224</v>
      </c>
      <c r="B75" t="s">
        <v>324</v>
      </c>
      <c r="C75" t="s">
        <v>324</v>
      </c>
      <c r="D75" s="11">
        <v>45743.331990740742</v>
      </c>
    </row>
    <row r="76" spans="1:4" x14ac:dyDescent="0.25">
      <c r="A76" t="s">
        <v>222</v>
      </c>
      <c r="B76" t="s">
        <v>324</v>
      </c>
      <c r="C76" t="s">
        <v>324</v>
      </c>
      <c r="D76" s="11">
        <v>45743.332268518519</v>
      </c>
    </row>
    <row r="77" spans="1:4" x14ac:dyDescent="0.25">
      <c r="A77" t="s">
        <v>199</v>
      </c>
      <c r="B77" t="s">
        <v>317</v>
      </c>
      <c r="D77" s="11"/>
    </row>
    <row r="78" spans="1:4" x14ac:dyDescent="0.25">
      <c r="A78" t="s">
        <v>195</v>
      </c>
      <c r="B78" t="s">
        <v>317</v>
      </c>
      <c r="D78" s="11"/>
    </row>
    <row r="79" spans="1:4" x14ac:dyDescent="0.25">
      <c r="A79" t="s">
        <v>95</v>
      </c>
      <c r="B79" t="s">
        <v>320</v>
      </c>
      <c r="C79" t="s">
        <v>321</v>
      </c>
      <c r="D79" s="11">
        <v>45726.479097222233</v>
      </c>
    </row>
    <row r="80" spans="1:4" x14ac:dyDescent="0.25">
      <c r="A80" t="s">
        <v>105</v>
      </c>
      <c r="B80" t="s">
        <v>317</v>
      </c>
      <c r="D80"/>
    </row>
    <row r="81" spans="1:4" x14ac:dyDescent="0.25">
      <c r="A81" t="s">
        <v>91</v>
      </c>
      <c r="B81" t="s">
        <v>317</v>
      </c>
      <c r="D81"/>
    </row>
    <row r="82" spans="1:4" x14ac:dyDescent="0.25">
      <c r="A82" t="s">
        <v>151</v>
      </c>
      <c r="B82" t="s">
        <v>317</v>
      </c>
      <c r="D82"/>
    </row>
    <row r="83" spans="1:4" x14ac:dyDescent="0.25">
      <c r="A83" t="s">
        <v>135</v>
      </c>
      <c r="B83" t="s">
        <v>317</v>
      </c>
      <c r="D83"/>
    </row>
    <row r="84" spans="1:4" x14ac:dyDescent="0.25">
      <c r="A84" t="s">
        <v>127</v>
      </c>
      <c r="B84" t="s">
        <v>317</v>
      </c>
      <c r="D84"/>
    </row>
    <row r="85" spans="1:4" x14ac:dyDescent="0.25">
      <c r="A85" t="s">
        <v>117</v>
      </c>
      <c r="B85" t="s">
        <v>317</v>
      </c>
      <c r="D85"/>
    </row>
    <row r="86" spans="1:4" x14ac:dyDescent="0.25">
      <c r="A86" t="s">
        <v>101</v>
      </c>
      <c r="B86" t="s">
        <v>317</v>
      </c>
      <c r="D86"/>
    </row>
    <row r="87" spans="1:4" x14ac:dyDescent="0.25">
      <c r="A87" t="s">
        <v>109</v>
      </c>
      <c r="B87" t="s">
        <v>317</v>
      </c>
      <c r="D87"/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L10"/>
  <sheetViews>
    <sheetView zoomScaleNormal="100" workbookViewId="0">
      <selection activeCell="B10" sqref="B10"/>
    </sheetView>
  </sheetViews>
  <sheetFormatPr defaultColWidth="8.6640625" defaultRowHeight="15.05" x14ac:dyDescent="0.25"/>
  <sheetData>
    <row r="2" spans="2:12" x14ac:dyDescent="0.25">
      <c r="B2" s="1" t="s">
        <v>2</v>
      </c>
      <c r="C2" s="1"/>
      <c r="D2" s="1" t="s">
        <v>3</v>
      </c>
      <c r="E2" s="1"/>
      <c r="F2" s="1" t="s">
        <v>19</v>
      </c>
      <c r="G2" s="1"/>
      <c r="H2" s="1" t="s">
        <v>5</v>
      </c>
      <c r="I2" s="1"/>
      <c r="J2" s="1" t="s">
        <v>18</v>
      </c>
      <c r="K2" s="1"/>
      <c r="L2" s="1" t="s">
        <v>15</v>
      </c>
    </row>
    <row r="3" spans="2:12" x14ac:dyDescent="0.25">
      <c r="B3" t="s">
        <v>24</v>
      </c>
      <c r="D3" t="s">
        <v>25</v>
      </c>
      <c r="F3" t="s">
        <v>26</v>
      </c>
      <c r="G3" t="s">
        <v>326</v>
      </c>
      <c r="H3" t="s">
        <v>327</v>
      </c>
      <c r="J3" t="s">
        <v>328</v>
      </c>
      <c r="L3">
        <v>1</v>
      </c>
    </row>
    <row r="4" spans="2:12" x14ac:dyDescent="0.25">
      <c r="B4" t="s">
        <v>111</v>
      </c>
      <c r="D4" t="s">
        <v>56</v>
      </c>
      <c r="F4" t="s">
        <v>329</v>
      </c>
      <c r="G4" t="s">
        <v>330</v>
      </c>
      <c r="H4" t="s">
        <v>331</v>
      </c>
      <c r="J4" t="s">
        <v>332</v>
      </c>
      <c r="L4">
        <v>0</v>
      </c>
    </row>
    <row r="5" spans="2:12" x14ac:dyDescent="0.25">
      <c r="B5" t="s">
        <v>37</v>
      </c>
      <c r="D5" t="s">
        <v>80</v>
      </c>
      <c r="F5" t="s">
        <v>115</v>
      </c>
      <c r="L5">
        <v>-1</v>
      </c>
    </row>
    <row r="6" spans="2:12" x14ac:dyDescent="0.25">
      <c r="B6" t="s">
        <v>79</v>
      </c>
    </row>
    <row r="7" spans="2:12" x14ac:dyDescent="0.25">
      <c r="B7" t="s">
        <v>75</v>
      </c>
    </row>
    <row r="8" spans="2:12" x14ac:dyDescent="0.25">
      <c r="B8" t="s">
        <v>114</v>
      </c>
    </row>
    <row r="9" spans="2:12" x14ac:dyDescent="0.25">
      <c r="B9" t="s">
        <v>333</v>
      </c>
    </row>
    <row r="10" spans="2:12" x14ac:dyDescent="0.25">
      <c r="B10" t="s">
        <v>336</v>
      </c>
    </row>
  </sheetData>
  <phoneticPr fontId="3" type="noConversion"/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</vt:i4>
      </vt:variant>
    </vt:vector>
  </HeadingPairs>
  <TitlesOfParts>
    <vt:vector size="6" baseType="lpstr">
      <vt:lpstr>数据面板</vt:lpstr>
      <vt:lpstr>系统汇总页面</vt:lpstr>
      <vt:lpstr>data</vt:lpstr>
      <vt:lpstr>基础资料</vt:lpstr>
      <vt:lpstr>系统汇总页面!_FilterDatabase_0_0</vt:lpstr>
      <vt:lpstr>系统汇总页面!_FilterDatabase_0_0_0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xin wang</cp:lastModifiedBy>
  <cp:revision>40</cp:revision>
  <dcterms:created xsi:type="dcterms:W3CDTF">2006-09-16T00:00:00Z</dcterms:created>
  <dcterms:modified xsi:type="dcterms:W3CDTF">2025-03-27T08:18:02Z</dcterms:modified>
  <dc:language>zh-CN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